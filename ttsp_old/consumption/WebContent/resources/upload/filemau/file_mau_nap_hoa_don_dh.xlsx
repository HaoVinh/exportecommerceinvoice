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trong\Desktop\"/>
    </mc:Choice>
  </mc:AlternateContent>
  <bookViews>
    <workbookView xWindow="9960" yWindow="-120" windowWidth="14280" windowHeight="8310" tabRatio="242"/>
  </bookViews>
  <sheets>
    <sheet name="805" sheetId="3" r:id="rId1"/>
    <sheet name="8051" sheetId="11" r:id="rId2"/>
    <sheet name="XUẤT HÓA ĐƠN" sheetId="6" state="hidden" r:id="rId3"/>
    <sheet name="SL CẦN GIAO" sheetId="4" state="hidden" r:id="rId4"/>
    <sheet name="Sl PO" sheetId="9" state="hidden" r:id="rId5"/>
  </sheets>
  <definedNames>
    <definedName name="_xlnm._FilterDatabase" localSheetId="0" hidden="1">'805'!$A$2:$H$4</definedName>
    <definedName name="_xlnm._FilterDatabase" localSheetId="1" hidden="1">'8051'!$A$2:$G$3</definedName>
    <definedName name="_xlnm._FilterDatabase" localSheetId="3" hidden="1">'SL CẦN GIAO'!$C$2:$E$20</definedName>
  </definedNames>
  <calcPr calcId="162913"/>
  <pivotCaches>
    <pivotCache cacheId="0" r:id="rId6"/>
    <pivotCache cacheId="1" r:id="rId7"/>
    <pivotCache cacheId="2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1" l="1"/>
  <c r="D4" i="4"/>
  <c r="E4" i="4" s="1"/>
  <c r="D5" i="4"/>
  <c r="E5" i="4" s="1"/>
  <c r="D6" i="4"/>
  <c r="E6" i="4" s="1"/>
  <c r="D7" i="4"/>
  <c r="E7" i="4" s="1"/>
  <c r="D8" i="4"/>
  <c r="E8" i="4" s="1"/>
  <c r="D9" i="4"/>
  <c r="E9" i="4" s="1"/>
  <c r="D10" i="4"/>
  <c r="E10" i="4" s="1"/>
  <c r="D11" i="4"/>
  <c r="E11" i="4" s="1"/>
  <c r="D12" i="4"/>
  <c r="E12" i="4" s="1"/>
  <c r="D13" i="4"/>
  <c r="E13" i="4" s="1"/>
  <c r="D14" i="4"/>
  <c r="E14" i="4" s="1"/>
  <c r="D15" i="4"/>
  <c r="E15" i="4" s="1"/>
  <c r="D16" i="4"/>
  <c r="E16" i="4" s="1"/>
  <c r="D17" i="4"/>
  <c r="E17" i="4" s="1"/>
  <c r="D18" i="4"/>
  <c r="E18" i="4" s="1"/>
  <c r="D19" i="4"/>
  <c r="E19" i="4" s="1"/>
  <c r="D3" i="4"/>
  <c r="E3" i="4" s="1"/>
  <c r="I5" i="9"/>
  <c r="I6" i="9"/>
  <c r="I7" i="9"/>
  <c r="I8" i="9"/>
  <c r="I9" i="9"/>
  <c r="I4" i="9"/>
</calcChain>
</file>

<file path=xl/comments1.xml><?xml version="1.0" encoding="utf-8"?>
<comments xmlns="http://schemas.openxmlformats.org/spreadsheetml/2006/main">
  <authors>
    <author>Dang Diem Le Vi</author>
  </authors>
  <commentList>
    <comment ref="D1" authorId="0" shapeId="0">
      <text>
        <r>
          <rPr>
            <b/>
            <sz val="9"/>
            <color indexed="81"/>
            <rFont val="Tahoma"/>
            <family val="2"/>
          </rPr>
          <t>Dang Diem Le Vi:</t>
        </r>
        <r>
          <rPr>
            <sz val="9"/>
            <color indexed="81"/>
            <rFont val="Tahoma"/>
            <family val="2"/>
          </rPr>
          <t xml:space="preserve">
ngày đi giao hàng</t>
        </r>
      </text>
    </comment>
  </commentList>
</comments>
</file>

<file path=xl/comments2.xml><?xml version="1.0" encoding="utf-8"?>
<comments xmlns="http://schemas.openxmlformats.org/spreadsheetml/2006/main">
  <authors>
    <author>Dang Diem Le Vi</author>
  </authors>
  <commentList>
    <comment ref="D1" authorId="0" shapeId="0">
      <text>
        <r>
          <rPr>
            <b/>
            <sz val="9"/>
            <color indexed="81"/>
            <rFont val="Tahoma"/>
            <family val="2"/>
          </rPr>
          <t>Dang Diem Le Vi:</t>
        </r>
        <r>
          <rPr>
            <sz val="9"/>
            <color indexed="81"/>
            <rFont val="Tahoma"/>
            <family val="2"/>
          </rPr>
          <t xml:space="preserve">
ngày đi giao hàng</t>
        </r>
      </text>
    </comment>
  </commentList>
</comments>
</file>

<file path=xl/sharedStrings.xml><?xml version="1.0" encoding="utf-8"?>
<sst xmlns="http://schemas.openxmlformats.org/spreadsheetml/2006/main" count="2452" uniqueCount="407">
  <si>
    <t>BOOKING GIAO HÀNG NGÀY</t>
  </si>
  <si>
    <t>SKU</t>
  </si>
  <si>
    <t>TÊN HÀNG</t>
  </si>
  <si>
    <t>PO</t>
  </si>
  <si>
    <t>STT</t>
  </si>
  <si>
    <t>SỐ LƯỢNG
THÙNG ( LỐC )</t>
  </si>
  <si>
    <t>PHẢN HỒI
THÙNG ( LỐC )</t>
  </si>
  <si>
    <t>NÖÔÙC RÖÛA CHEÙN SIEÂU SAÏCH CHANH 3,6KG/C04</t>
  </si>
  <si>
    <t>BOÄT GIAËT LIXE HÖÔNG NÖÔÙC HOA 5,5KG/03</t>
  </si>
  <si>
    <t>NÖÔÙC GIAËT LIX HÖÔNG NÖÔÙC HOA 3,6KG/C04</t>
  </si>
  <si>
    <t>*75194108(8051)11086</t>
  </si>
  <si>
    <t>75079627(805)15506</t>
  </si>
  <si>
    <t>75107988(805)11086</t>
  </si>
  <si>
    <t>75249755(805)15506</t>
  </si>
  <si>
    <t>75249747(805)15506</t>
  </si>
  <si>
    <t>NÖÔÙC RÖÛA CHEÙN LIX CHANH 3,6KG/C04</t>
  </si>
  <si>
    <t>75256916(805)11086</t>
  </si>
  <si>
    <t>NÖÔÙC TAÅY JAVEL LIX 1KG/CH12</t>
  </si>
  <si>
    <t>NÖÔÙC RÖÛA CHEÙN ON1 TINH DAÀU GÖØNG SAÛ 1KG/CH12</t>
  </si>
  <si>
    <t>GEL TAÅY BOÀN CAÀU &amp; NHAØ TAÉM ON1 900G/CH12</t>
  </si>
  <si>
    <t>NÖÔÙC RÖÛA CHEÙN SIEÂU SAÏCH TRAØ 3,5KG/T04 (TUÙI)</t>
  </si>
  <si>
    <t>NÖÔÙC GIAËT HÖÔNG THAÛO MOÄC DD COOP SELECT 2L/C08</t>
  </si>
  <si>
    <t>NÖÔÙC RÖÛA CHEÙN TRAØ XANH COOP SELECT 4L/C04</t>
  </si>
  <si>
    <t>NÖÔÙC LAU SAØN BAÏC HAØ COOP SELECT 4L/C04</t>
  </si>
  <si>
    <t>NÖÔÙC LAØM MEÀM VAÛI DD HÖÔNG HOA COOP SELECT 1,8L/C08</t>
  </si>
  <si>
    <t>Mã Hàng Lix</t>
  </si>
  <si>
    <t>Row Labels</t>
  </si>
  <si>
    <t>(blank)</t>
  </si>
  <si>
    <t>Grand Total</t>
  </si>
  <si>
    <t>NGC19</t>
  </si>
  <si>
    <t>EC573</t>
  </si>
  <si>
    <t>BC001</t>
  </si>
  <si>
    <t>EH554</t>
  </si>
  <si>
    <t>NC106</t>
  </si>
  <si>
    <t>BC003</t>
  </si>
  <si>
    <t>BC002</t>
  </si>
  <si>
    <t>NC044</t>
  </si>
  <si>
    <t>NVC02</t>
  </si>
  <si>
    <t>BC010</t>
  </si>
  <si>
    <t>NGC20</t>
  </si>
  <si>
    <t>NC102</t>
  </si>
  <si>
    <t>NGC17</t>
  </si>
  <si>
    <t>C3101</t>
  </si>
  <si>
    <t>NGC18</t>
  </si>
  <si>
    <t>NC108</t>
  </si>
  <si>
    <t>NC105</t>
  </si>
  <si>
    <t>NTC51</t>
  </si>
  <si>
    <t>NTC01</t>
  </si>
  <si>
    <t>NC109</t>
  </si>
  <si>
    <t>NC104</t>
  </si>
  <si>
    <t>NC101</t>
  </si>
  <si>
    <t>NC100</t>
  </si>
  <si>
    <t>NC360</t>
  </si>
  <si>
    <t>NS360</t>
  </si>
  <si>
    <t>JL100</t>
  </si>
  <si>
    <t>N5503</t>
  </si>
  <si>
    <t>N0502</t>
  </si>
  <si>
    <t>NGH10</t>
  </si>
  <si>
    <t>NGM40</t>
  </si>
  <si>
    <t>N8101</t>
  </si>
  <si>
    <t>N2601</t>
  </si>
  <si>
    <t>Sum of PHẢN HỒI</t>
  </si>
  <si>
    <t>makhxuat</t>
  </si>
  <si>
    <t>makh</t>
  </si>
  <si>
    <t>makho</t>
  </si>
  <si>
    <t>maxn</t>
  </si>
  <si>
    <t>sohd</t>
  </si>
  <si>
    <t>masp</t>
  </si>
  <si>
    <t>tensp</t>
  </si>
  <si>
    <t>soluong</t>
  </si>
  <si>
    <t>id</t>
  </si>
  <si>
    <t>soxe</t>
  </si>
  <si>
    <t>dongia</t>
  </si>
  <si>
    <t>sotien</t>
  </si>
  <si>
    <t>dongiant</t>
  </si>
  <si>
    <t>sotiennt</t>
  </si>
  <si>
    <t>hesothue</t>
  </si>
  <si>
    <t>soserie</t>
  </si>
  <si>
    <t>sodhang</t>
  </si>
  <si>
    <t>maspdh</t>
  </si>
  <si>
    <t>ckey</t>
  </si>
  <si>
    <t>ckey_hdbh</t>
  </si>
  <si>
    <t>ghichu</t>
  </si>
  <si>
    <t>soluong_kg</t>
  </si>
  <si>
    <t>sothung</t>
  </si>
  <si>
    <t>dathtoan</t>
  </si>
  <si>
    <t>htbocxep</t>
  </si>
  <si>
    <t>htthanhtoa</t>
  </si>
  <si>
    <t>mabx</t>
  </si>
  <si>
    <t>manoivc</t>
  </si>
  <si>
    <t>manvbh</t>
  </si>
  <si>
    <t>locked</t>
  </si>
  <si>
    <t>masoctkm</t>
  </si>
  <si>
    <t>matk</t>
  </si>
  <si>
    <t>ngoaigio</t>
  </si>
  <si>
    <t>port_id</t>
  </si>
  <si>
    <t>quydoi</t>
  </si>
  <si>
    <t>sohdong</t>
  </si>
  <si>
    <t>tienthue</t>
  </si>
  <si>
    <t>malohang</t>
  </si>
  <si>
    <t>maso</t>
  </si>
  <si>
    <t>manvvc</t>
  </si>
  <si>
    <t>iddonhang</t>
  </si>
  <si>
    <t>masoctdg</t>
  </si>
  <si>
    <t>diachi</t>
  </si>
  <si>
    <t>matracuu</t>
  </si>
  <si>
    <t>tenkh</t>
  </si>
  <si>
    <t>tennvvc</t>
  </si>
  <si>
    <t>po</t>
  </si>
  <si>
    <t>tennvbh</t>
  </si>
  <si>
    <t>giobd</t>
  </si>
  <si>
    <t>giokt</t>
  </si>
  <si>
    <t>masp_com</t>
  </si>
  <si>
    <t>tensp_com</t>
  </si>
  <si>
    <t>masp_brand</t>
  </si>
  <si>
    <t>brand_name</t>
  </si>
  <si>
    <t>kh_categ_id</t>
  </si>
  <si>
    <t>loaikh</t>
  </si>
  <si>
    <t>makenh</t>
  </si>
  <si>
    <t>tenkenh</t>
  </si>
  <si>
    <t>ngaygh</t>
  </si>
  <si>
    <t>idhuy</t>
  </si>
  <si>
    <t>sohd_huy</t>
  </si>
  <si>
    <t>ngayhd_huy</t>
  </si>
  <si>
    <t>CO125</t>
  </si>
  <si>
    <t>00018848</t>
  </si>
  <si>
    <t>HT016</t>
  </si>
  <si>
    <t>F</t>
  </si>
  <si>
    <t>1</t>
  </si>
  <si>
    <t/>
  </si>
  <si>
    <t>00674432</t>
  </si>
  <si>
    <t>51C 36017</t>
  </si>
  <si>
    <t>111</t>
  </si>
  <si>
    <t>2022-09/04196</t>
  </si>
  <si>
    <t>02216355</t>
  </si>
  <si>
    <t>CK</t>
  </si>
  <si>
    <t>0541</t>
  </si>
  <si>
    <t>CT10107</t>
  </si>
  <si>
    <t>4 CAN/THUØNG</t>
  </si>
  <si>
    <t>00241936</t>
  </si>
  <si>
    <t>DG026210</t>
  </si>
  <si>
    <t>CHI NHAÙNH BÌNH DÖÔNG GIAO HAØNG SAØI GOØN CO-OP SOÙNG THAÀN</t>
  </si>
  <si>
    <t>TRUNG TAÂM PHAÂN PHOÁI SAIGON CO.OP</t>
  </si>
  <si>
    <t xml:space="preserve">  -   -</t>
  </si>
  <si>
    <t>C16</t>
  </si>
  <si>
    <t>NRC CO-OP TRAØ 4L/C04</t>
  </si>
  <si>
    <t>NC1</t>
  </si>
  <si>
    <t>NRC CO-OP</t>
  </si>
  <si>
    <t>SC</t>
  </si>
  <si>
    <t>SIEÂU THÒ COOP</t>
  </si>
  <si>
    <t>02</t>
  </si>
  <si>
    <t>KEÂNH SIEÂU THÒ</t>
  </si>
  <si>
    <t>30-Sep-22</t>
  </si>
  <si>
    <t>02216356</t>
  </si>
  <si>
    <t>8 CAN/THUØNG</t>
  </si>
  <si>
    <t>XV1</t>
  </si>
  <si>
    <t>NLMV CO-OP 1,8L/C08</t>
  </si>
  <si>
    <t>XVC</t>
  </si>
  <si>
    <t>NLMV CO-OP</t>
  </si>
  <si>
    <t>NÖÔÙC RÖÛA CHEÙN HÖÔNG TAÙO COOP SELECT 4L/C4</t>
  </si>
  <si>
    <t>02216357</t>
  </si>
  <si>
    <t>C04</t>
  </si>
  <si>
    <t>NRC CO-OP DK 4KG/C04</t>
  </si>
  <si>
    <t>00018850</t>
  </si>
  <si>
    <t>(</t>
  </si>
  <si>
    <t>00674433</t>
  </si>
  <si>
    <t>02216358</t>
  </si>
  <si>
    <t>_x000D_
Haøng khuyeán maïi</t>
  </si>
  <si>
    <t>02216359</t>
  </si>
  <si>
    <t>02216360</t>
  </si>
  <si>
    <t>00018836</t>
  </si>
  <si>
    <t>E</t>
  </si>
  <si>
    <t>00674434</t>
  </si>
  <si>
    <t>2022-09/04224</t>
  </si>
  <si>
    <t>02216361</t>
  </si>
  <si>
    <t>4 CAN/THUNG</t>
  </si>
  <si>
    <t>00241970</t>
  </si>
  <si>
    <t>N36</t>
  </si>
  <si>
    <t>NRC LIX CHANH 3,6KG/C04</t>
  </si>
  <si>
    <t>NRL</t>
  </si>
  <si>
    <t>NRC LIX CHANH</t>
  </si>
  <si>
    <t>NÖÔÙC GIAËT LIX MATIC HÖÔNG BAMBOO 3,6KG/C04</t>
  </si>
  <si>
    <t>02216362</t>
  </si>
  <si>
    <t>261</t>
  </si>
  <si>
    <t>NG LIX MATIC HÖÔNG BAMBOO 3,6KG/C04</t>
  </si>
  <si>
    <t>N26</t>
  </si>
  <si>
    <t>NG LIX MATIC HÖÔNG BAMBOO</t>
  </si>
  <si>
    <t>00018837</t>
  </si>
  <si>
    <t>00674435</t>
  </si>
  <si>
    <t>02216363</t>
  </si>
  <si>
    <t>S38</t>
  </si>
  <si>
    <t>NRC SS CHANH 3,6KG/C04</t>
  </si>
  <si>
    <t>NS1</t>
  </si>
  <si>
    <t>NRC SIEÂU SAÏCH CHANH</t>
  </si>
  <si>
    <t>02216364</t>
  </si>
  <si>
    <t>00018838</t>
  </si>
  <si>
    <t>00674436</t>
  </si>
  <si>
    <t>02216365</t>
  </si>
  <si>
    <t>00018847</t>
  </si>
  <si>
    <t>00674437</t>
  </si>
  <si>
    <t>sdf</t>
  </si>
  <si>
    <t>02216366</t>
  </si>
  <si>
    <t>Haøng khuyeán maïi</t>
  </si>
  <si>
    <t>(3 THUØNG)</t>
  </si>
  <si>
    <t>00018840</t>
  </si>
  <si>
    <t>00674440</t>
  </si>
  <si>
    <t>2022-09/00057</t>
  </si>
  <si>
    <t>02216369</t>
  </si>
  <si>
    <t>CT10099</t>
  </si>
  <si>
    <t>(165 THUØNG)</t>
  </si>
  <si>
    <t>00241418</t>
  </si>
  <si>
    <t>C02</t>
  </si>
  <si>
    <t>NG CO-OP 2L/C08</t>
  </si>
  <si>
    <t>C01</t>
  </si>
  <si>
    <t>NUOC GIAT CO-OP</t>
  </si>
  <si>
    <t>00018854</t>
  </si>
  <si>
    <t>00674441</t>
  </si>
  <si>
    <t>02216370</t>
  </si>
  <si>
    <t>00018855</t>
  </si>
  <si>
    <t>NÖÔÙC RÖÛA CHEÙN TRAØ XANH COOP SELECT 800ML/12TUI</t>
  </si>
  <si>
    <t>00674442</t>
  </si>
  <si>
    <t>df</t>
  </si>
  <si>
    <t>2022-09/04199</t>
  </si>
  <si>
    <t>02216371</t>
  </si>
  <si>
    <t>12 TUÙI/THUØNG</t>
  </si>
  <si>
    <t>00241939</t>
  </si>
  <si>
    <t>CO1</t>
  </si>
  <si>
    <t>NRC CO-OP 800ML/12</t>
  </si>
  <si>
    <t>NÖÔÙC RÖÛA CHEÙN HÖÔNG TAÙO COOP SELECT 800ML/12TUI</t>
  </si>
  <si>
    <t>02216372</t>
  </si>
  <si>
    <t>00018841</t>
  </si>
  <si>
    <t>00674449</t>
  </si>
  <si>
    <t>11</t>
  </si>
  <si>
    <t>02216398</t>
  </si>
  <si>
    <t>00018851</t>
  </si>
  <si>
    <t>00674450</t>
  </si>
  <si>
    <t>02216399</t>
  </si>
  <si>
    <t>00018857</t>
  </si>
  <si>
    <t>BOÄT GIAËT LIXE CHANH 5,5KG/03-NÖÔÙC LAU ÑA NAÊNG ON1 500ML</t>
  </si>
  <si>
    <t>00674451</t>
  </si>
  <si>
    <t>2022-09/03879</t>
  </si>
  <si>
    <t>02216400</t>
  </si>
  <si>
    <t>3 GOÙI/THUNG</t>
  </si>
  <si>
    <t>00241545</t>
  </si>
  <si>
    <t>C57</t>
  </si>
  <si>
    <t>BG LIXE CHANH 5,5KG/03</t>
  </si>
  <si>
    <t>LEC</t>
  </si>
  <si>
    <t>BG LIXE CHANH</t>
  </si>
  <si>
    <t>00018860</t>
  </si>
  <si>
    <t>5</t>
  </si>
  <si>
    <t>DN502</t>
  </si>
  <si>
    <t>NÖÔÙC LAU ÑA NAÊNG ON1 HÖÔNG BAMBOO CHARCOAL 500ML/CH20-KM</t>
  </si>
  <si>
    <t>00674452</t>
  </si>
  <si>
    <t>02216401</t>
  </si>
  <si>
    <t>20 CHAI/THUØNG</t>
  </si>
  <si>
    <t>NLD</t>
  </si>
  <si>
    <t>NL ÑA NAÊNG ON1 HÖÔNG BAMBOO 500ML/CH20</t>
  </si>
  <si>
    <t>DN1</t>
  </si>
  <si>
    <t>NL ÑA NAÊNG ON1 HÖÔNG BAMBOO</t>
  </si>
  <si>
    <t>00018835</t>
  </si>
  <si>
    <t>NÖÔÙC GIAËT HÖÔNG THAÛO MOÄC DD COOP SELECT 2,5L/04TUI</t>
  </si>
  <si>
    <t>00674453</t>
  </si>
  <si>
    <t>02216402</t>
  </si>
  <si>
    <t>4 TUÙI/THUØNG</t>
  </si>
  <si>
    <t>C25</t>
  </si>
  <si>
    <t>NG CO-OP 2,5 L/04</t>
  </si>
  <si>
    <t>00018852</t>
  </si>
  <si>
    <t>00674454</t>
  </si>
  <si>
    <t>02216403</t>
  </si>
  <si>
    <t>00018833</t>
  </si>
  <si>
    <t>00674455</t>
  </si>
  <si>
    <t>2022-09/04110</t>
  </si>
  <si>
    <t>02216404</t>
  </si>
  <si>
    <t>CT10100</t>
  </si>
  <si>
    <t>3 GOÙI/THUØNG</t>
  </si>
  <si>
    <t>00241821</t>
  </si>
  <si>
    <t>EH6</t>
  </si>
  <si>
    <t>BG LIXE HÖÔNG NÖÔÙC HOA 5,5KG/03</t>
  </si>
  <si>
    <t>EH1</t>
  </si>
  <si>
    <t>BG LIXE HÖÔNG NÖÔÙC HOA</t>
  </si>
  <si>
    <t>00018853</t>
  </si>
  <si>
    <t>00674456</t>
  </si>
  <si>
    <t>02216405</t>
  </si>
  <si>
    <t>CN1</t>
  </si>
  <si>
    <t>NLS CO-OP 4L/C03</t>
  </si>
  <si>
    <t>NLS CO-OP</t>
  </si>
  <si>
    <t>00018856</t>
  </si>
  <si>
    <t>00674457</t>
  </si>
  <si>
    <t>02216406</t>
  </si>
  <si>
    <t>00018845</t>
  </si>
  <si>
    <t>00674458</t>
  </si>
  <si>
    <t>02216407</t>
  </si>
  <si>
    <t>12 CHAI/THUØNG</t>
  </si>
  <si>
    <t>052</t>
  </si>
  <si>
    <t>N05</t>
  </si>
  <si>
    <t>GEL TAÅY BOÀN CAÀU ON1</t>
  </si>
  <si>
    <t>02216408</t>
  </si>
  <si>
    <t>H36</t>
  </si>
  <si>
    <t>NG LIX HÖÔNG NÖÔÙC HOA 3,6KG/C04</t>
  </si>
  <si>
    <t>NNH</t>
  </si>
  <si>
    <t>NG LIX HÖÔNG NÖÔÙC HOA</t>
  </si>
  <si>
    <t>02216409</t>
  </si>
  <si>
    <t>811</t>
  </si>
  <si>
    <t>NRC SIEÂU SAÏCH TRAØ 3,5KG/T04</t>
  </si>
  <si>
    <t>NS2</t>
  </si>
  <si>
    <t>NRC SIEÂU SAÏCH TRAØ</t>
  </si>
  <si>
    <t>00018859</t>
  </si>
  <si>
    <t>NÖÔÙC GIAËT HÖÔNG THAÛO MOÄC CÖÛA TRÖÔÙC COOP SELECT 2.5L/04TUI</t>
  </si>
  <si>
    <t>00674459</t>
  </si>
  <si>
    <t>02216410</t>
  </si>
  <si>
    <t>00018834</t>
  </si>
  <si>
    <t>00674460</t>
  </si>
  <si>
    <t>02216411</t>
  </si>
  <si>
    <t>00018842</t>
  </si>
  <si>
    <t>NÖÔÙC GIAËT HÖÔNG THAÛO MOÄC CÖÛA TRÖÔÙC COOP SELECT 4L/C04</t>
  </si>
  <si>
    <t>00674461</t>
  </si>
  <si>
    <t>2022-09/04198</t>
  </si>
  <si>
    <t>02216412</t>
  </si>
  <si>
    <t>00241938</t>
  </si>
  <si>
    <t>C20</t>
  </si>
  <si>
    <t>NG CO-OP 4L/C04</t>
  </si>
  <si>
    <t>00018846</t>
  </si>
  <si>
    <t>00674462</t>
  </si>
  <si>
    <t>02216413</t>
  </si>
  <si>
    <t>00018844</t>
  </si>
  <si>
    <t>NÖÔÙC TAÅY QUAÀN AÙO COOP SELECT 1KG/C12</t>
  </si>
  <si>
    <t>00674463</t>
  </si>
  <si>
    <t>02216414</t>
  </si>
  <si>
    <t>CJ1</t>
  </si>
  <si>
    <t>NT JAVEL CO-OP 1KG/CH12</t>
  </si>
  <si>
    <t>NT JAVEL CO-OP</t>
  </si>
  <si>
    <t>NÖÔÙC RÖÛA CHEÙN HÖÔNG CHANH COOP SELECT 800ML/12TUI</t>
  </si>
  <si>
    <t>02216415</t>
  </si>
  <si>
    <t>00018861</t>
  </si>
  <si>
    <t>00674480</t>
  </si>
  <si>
    <t>02216478</t>
  </si>
  <si>
    <t>553</t>
  </si>
  <si>
    <t>NRC ON1 TINH DAÀU GÖØNG SAÛ 1KG/CH12</t>
  </si>
  <si>
    <t>N55</t>
  </si>
  <si>
    <t>NRC ON1 TINH DAÀU GÖØNG SAÛ</t>
  </si>
  <si>
    <t>00018849</t>
  </si>
  <si>
    <t>00674464</t>
  </si>
  <si>
    <t>02216416</t>
  </si>
  <si>
    <t>NÖÔÙC GIAËT LIX MATIC HÖÔNG NÖÔÙC HOA (NEW) 3,6KG/C04</t>
  </si>
  <si>
    <t>02216417</t>
  </si>
  <si>
    <t>MNJ</t>
  </si>
  <si>
    <t>NG LIX MATIC HÖÔNG NÖÔÙC HOA 3,6KG/C04</t>
  </si>
  <si>
    <t>MNH</t>
  </si>
  <si>
    <t>NG LIX MATIC HÖÔNG NÖÔÙC HOA</t>
  </si>
  <si>
    <t>00018839</t>
  </si>
  <si>
    <t>00674465</t>
  </si>
  <si>
    <t>02216418</t>
  </si>
  <si>
    <t>12 CHAI/THUNG</t>
  </si>
  <si>
    <t>JL1</t>
  </si>
  <si>
    <t>NT JAVEL 1KG/CH12</t>
  </si>
  <si>
    <t>JVL</t>
  </si>
  <si>
    <t>NT JAVEL LIX</t>
  </si>
  <si>
    <t>00018858</t>
  </si>
  <si>
    <t>NÖÔÙC RÖÛA CHEÙN HÖÔNG CHANH COOP SELECT 1,8L/C08</t>
  </si>
  <si>
    <t>00674466</t>
  </si>
  <si>
    <t>02216419</t>
  </si>
  <si>
    <t>C18</t>
  </si>
  <si>
    <t>NRC COOP CHANH 1,8L/C08</t>
  </si>
  <si>
    <t>NÖÔÙC RÖÛA CHEÙN TRAØ XANH COOP SELECT 1,8L/C8</t>
  </si>
  <si>
    <t>02216420</t>
  </si>
  <si>
    <t>NC2</t>
  </si>
  <si>
    <t>NRC CO-OP TRAØ 1,8L/C08</t>
  </si>
  <si>
    <t>NÖÔÙC TAÅY TOILET COOP SELECT 500ML/C24</t>
  </si>
  <si>
    <t>02216421</t>
  </si>
  <si>
    <t>24 CHAI/THUØNG</t>
  </si>
  <si>
    <t>TC1</t>
  </si>
  <si>
    <t>NT TOILET CO-OP 500ML/CH24</t>
  </si>
  <si>
    <t>CN2</t>
  </si>
  <si>
    <t>NT TOILET CO-OP</t>
  </si>
  <si>
    <t>NÖÔÙC RÖÛA CHEÙN HÖÔNG TAÙO COOP SELECT 1,8/C8</t>
  </si>
  <si>
    <t>02216422</t>
  </si>
  <si>
    <t>00018843</t>
  </si>
  <si>
    <t>00674481</t>
  </si>
  <si>
    <t>02216479</t>
  </si>
  <si>
    <t>SCT</t>
  </si>
  <si>
    <t>Sum of sothung</t>
  </si>
  <si>
    <t>Sum of soluong</t>
  </si>
  <si>
    <t>Số cần Phô</t>
  </si>
  <si>
    <t>Hóa đơn</t>
  </si>
  <si>
    <t>Kiểm Lại SL</t>
  </si>
  <si>
    <t>Đếm SỐ PO</t>
  </si>
  <si>
    <t>SỐ LƯỢNG CẦN GIAO (PHẢN HỒI)</t>
  </si>
  <si>
    <t>SỐ LƯỢNG ĐÃ XUẤT HÓA ĐƠN</t>
  </si>
  <si>
    <t>Cần Đi</t>
  </si>
  <si>
    <t>Đã Đi</t>
  </si>
  <si>
    <t>Mã Lix</t>
  </si>
  <si>
    <t>ED557</t>
  </si>
  <si>
    <t>BOÄT GIAËT LIX ÑAÄM ÑAËC 5,5KG/03</t>
  </si>
  <si>
    <t xml:space="preserve"> 77835269(8051)11086</t>
  </si>
  <si>
    <t>BOÄT GIAËT HÖÔNG HOA COOP SELECT 900G/12</t>
  </si>
  <si>
    <t>ID_CT</t>
  </si>
  <si>
    <t>ID_ĐH</t>
  </si>
  <si>
    <t>SỐ XE</t>
  </si>
  <si>
    <t>SỐ CHUYẾN</t>
  </si>
  <si>
    <t>LÔ HÀNG</t>
  </si>
  <si>
    <t>2023-03/00577</t>
  </si>
  <si>
    <t>NG362</t>
  </si>
  <si>
    <t>NGH11</t>
  </si>
  <si>
    <t>28/03/2023</t>
  </si>
  <si>
    <t>65C 10589BL</t>
  </si>
  <si>
    <t>001</t>
  </si>
  <si>
    <t>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</si>
</sst>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VNI-Times"/>
    </font>
    <font>
      <sz val="11"/>
      <color indexed="8"/>
      <name val="VNI-Times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3" fillId="0" borderId="0" xfId="0" applyFont="1" applyAlignment="1">
      <alignment horizontal="center"/>
    </xf>
    <xf numFmtId="0" fontId="0" fillId="4" borderId="0" xfId="0" applyFill="1"/>
    <xf numFmtId="0" fontId="2" fillId="4" borderId="0" xfId="0" applyFont="1" applyFill="1" applyAlignment="1">
      <alignment horizontal="center"/>
    </xf>
    <xf numFmtId="0" fontId="0" fillId="5" borderId="0" xfId="0" applyFill="1"/>
    <xf numFmtId="0" fontId="2" fillId="5" borderId="0" xfId="0" applyFont="1" applyFill="1" applyAlignment="1">
      <alignment horizontal="center"/>
    </xf>
    <xf numFmtId="0" fontId="1" fillId="0" borderId="0" xfId="0" applyFont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2" fillId="0" borderId="0" xfId="0" applyFont="1"/>
    <xf numFmtId="0" fontId="2" fillId="0" borderId="4" xfId="0" applyFont="1" applyBorder="1" applyAlignment="1">
      <alignment horizontal="center" vertical="center"/>
    </xf>
    <xf numFmtId="0" fontId="7" fillId="0" borderId="1" xfId="0" applyFont="1" applyBorder="1"/>
    <xf numFmtId="0" fontId="8" fillId="0" borderId="5" xfId="0" applyFont="1" applyBorder="1"/>
    <xf numFmtId="0" fontId="0" fillId="0" borderId="1" xfId="0" applyBorder="1"/>
    <xf numFmtId="0" fontId="8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49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49" fontId="0" fillId="0" borderId="0" xfId="0" applyNumberFormat="1"/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BOOKING%20CHI%20TI&#7870;T%20GIAO%20H&#192;NG%2006-01-2023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ng Diem Le Vi" refreshedDate="44821.933254976851" createdVersion="6" refreshedVersion="6" minRefreshableVersion="3" recordCount="73">
  <cacheSource type="worksheet">
    <worksheetSource ref="B3:F3" sheet="8051" r:id="rId2"/>
  </cacheSource>
  <cacheFields count="6">
    <cacheField name="SKU" numFmtId="0">
      <sharedItems containsString="0" containsBlank="1" containsNumber="1" containsInteger="1" minValue="3160021" maxValue="3547301"/>
    </cacheField>
    <cacheField name="TÊN HÀNG" numFmtId="0">
      <sharedItems containsBlank="1"/>
    </cacheField>
    <cacheField name="SỐ LƯỢNG_x000a_THÙNG ( LỐC )" numFmtId="0">
      <sharedItems containsString="0" containsBlank="1" containsNumber="1" containsInteger="1" minValue="2" maxValue="840"/>
    </cacheField>
    <cacheField name="PHẢN HỒI_x000a_THÙNG ( LỐC )" numFmtId="0">
      <sharedItems containsString="0" containsBlank="1" containsNumber="1" containsInteger="1" minValue="0" maxValue="480"/>
    </cacheField>
    <cacheField name="PO" numFmtId="0">
      <sharedItems containsBlank="1"/>
    </cacheField>
    <cacheField name="Mã Hàng Lix" numFmtId="0">
      <sharedItems containsBlank="1" count="55">
        <s v="NGC19"/>
        <s v="EC573"/>
        <s v="BC001"/>
        <s v="NC106"/>
        <s v="BC003"/>
        <s v="BC002"/>
        <s v="NC044"/>
        <s v="NVC02"/>
        <s v="BC010"/>
        <s v="NGC20"/>
        <s v="NC102"/>
        <s v="NGC17"/>
        <s v="C3101"/>
        <s v="NGC18"/>
        <s v="NC108"/>
        <s v="NC105"/>
        <s v="NTC51"/>
        <s v="NTC01"/>
        <s v="NTC02"/>
        <s v="NKC01"/>
        <s v="NKC02"/>
        <s v="NC620"/>
        <s v="BC009"/>
        <s v="NC109"/>
        <s v="NC104"/>
        <s v="NC101"/>
        <s v="NC100"/>
        <s v="NC360"/>
        <s v="NS360"/>
        <s v="JL100"/>
        <s v="N8105"/>
        <s v="N5503"/>
        <s v="N0502"/>
        <s v="ED557"/>
        <s v="NGH10"/>
        <s v="NGM40"/>
        <s v="N4301"/>
        <s v="N8101"/>
        <s v="N2601"/>
        <s v="EH554"/>
        <m/>
        <s v="NC107" u="1"/>
        <s v="BC006" u="1"/>
        <s v="NGC13" u="1"/>
        <s v="NGC22" u="1"/>
        <s v="BC005" u="1"/>
        <s v="NGC12" u="1"/>
        <s v="NVC01" u="1"/>
        <s v="BC004" u="1"/>
        <s v="NC048" u="1"/>
        <s v="NGC11" u="1"/>
        <s v="RC001" u="1"/>
        <s v="NC040" u="1"/>
        <s v="NGC15" u="1"/>
        <s v="C300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Dang Diem Le Vi" refreshedDate="44821.933291550929" createdVersion="6" refreshedVersion="6" minRefreshableVersion="3" recordCount="44">
  <cacheSource type="worksheet">
    <worksheetSource ref="A1:BL1048576" sheet="XUẤT HÓA ĐƠN"/>
  </cacheSource>
  <cacheFields count="64">
    <cacheField name="makhxuat" numFmtId="0">
      <sharedItems containsBlank="1"/>
    </cacheField>
    <cacheField name="STT" numFmtId="0">
      <sharedItems containsString="0" containsBlank="1" containsNumber="1" containsInteger="1" minValue="1" maxValue="9"/>
    </cacheField>
    <cacheField name="SCT" numFmtId="0">
      <sharedItems containsBlank="1"/>
    </cacheField>
    <cacheField name="makh" numFmtId="0">
      <sharedItems containsBlank="1"/>
    </cacheField>
    <cacheField name="makho" numFmtId="0">
      <sharedItems containsBlank="1"/>
    </cacheField>
    <cacheField name="maxn" numFmtId="0">
      <sharedItems containsBlank="1"/>
    </cacheField>
    <cacheField name="sohd" numFmtId="0">
      <sharedItems containsBlank="1"/>
    </cacheField>
    <cacheField name="masp" numFmtId="0">
      <sharedItems containsBlank="1" count="29">
        <s v="NC106"/>
        <s v="NVC02"/>
        <s v="NC102"/>
        <s v="NC360"/>
        <s v="N2601"/>
        <s v="NS360"/>
        <s v="NGC19"/>
        <s v="NC104"/>
        <s v="NC100"/>
        <s v="EC573"/>
        <s v="DN502"/>
        <s v="NGC20"/>
        <s v="EH554"/>
        <s v="NC044"/>
        <s v="N0502"/>
        <s v="NGH10"/>
        <s v="N8101"/>
        <s v="NGC17"/>
        <s v="NGC18"/>
        <s v="NTC01"/>
        <s v="NC109"/>
        <s v="N5503"/>
        <s v="NGM40"/>
        <s v="JL100"/>
        <s v="NC108"/>
        <s v="NC105"/>
        <s v="NTC51"/>
        <s v="NC101"/>
        <m/>
      </sharedItems>
    </cacheField>
    <cacheField name="tensp" numFmtId="0">
      <sharedItems containsBlank="1"/>
    </cacheField>
    <cacheField name="soluong" numFmtId="0">
      <sharedItems containsString="0" containsBlank="1" containsNumber="1" containsInteger="1" minValue="8" maxValue="3360"/>
    </cacheField>
    <cacheField name="id" numFmtId="0">
      <sharedItems containsBlank="1"/>
    </cacheField>
    <cacheField name="soxe" numFmtId="0">
      <sharedItems containsBlank="1"/>
    </cacheField>
    <cacheField name="dongia" numFmtId="0">
      <sharedItems containsString="0" containsBlank="1" containsNumber="1" containsInteger="1" minValue="10619" maxValue="110217"/>
    </cacheField>
    <cacheField name="sotien" numFmtId="0">
      <sharedItems containsString="0" containsBlank="1" containsNumber="1" containsInteger="1" minValue="552144" maxValue="115257600"/>
    </cacheField>
    <cacheField name="dongiant" numFmtId="0">
      <sharedItems containsString="0" containsBlank="1" containsNumber="1" containsInteger="1" minValue="0" maxValue="0"/>
    </cacheField>
    <cacheField name="sotiennt" numFmtId="0">
      <sharedItems containsString="0" containsBlank="1" containsNumber="1" containsInteger="1" minValue="0" maxValue="0"/>
    </cacheField>
    <cacheField name="hesothue" numFmtId="0">
      <sharedItems containsString="0" containsBlank="1" containsNumber="1" minValue="0" maxValue="0.1"/>
    </cacheField>
    <cacheField name="soserie" numFmtId="0">
      <sharedItems containsBlank="1"/>
    </cacheField>
    <cacheField name="sodhang" numFmtId="0">
      <sharedItems containsBlank="1"/>
    </cacheField>
    <cacheField name="maspdh" numFmtId="0">
      <sharedItems containsBlank="1"/>
    </cacheField>
    <cacheField name="ckey" numFmtId="0">
      <sharedItems containsBlank="1"/>
    </cacheField>
    <cacheField name="ckey_hdbh" numFmtId="0">
      <sharedItems containsBlank="1"/>
    </cacheField>
    <cacheField name="ghichu" numFmtId="0">
      <sharedItems containsBlank="1"/>
    </cacheField>
    <cacheField name="soluong_kg" numFmtId="0">
      <sharedItems containsString="0" containsBlank="1" containsNumber="1" minValue="30.9" maxValue="5760"/>
    </cacheField>
    <cacheField name="sothung" numFmtId="0">
      <sharedItems containsString="0" containsBlank="1" containsNumber="1" minValue="2" maxValue="400"/>
    </cacheField>
    <cacheField name="dathtoan" numFmtId="0">
      <sharedItems containsBlank="1"/>
    </cacheField>
    <cacheField name="htbocxep" numFmtId="0">
      <sharedItems containsBlank="1"/>
    </cacheField>
    <cacheField name="htthanhtoa" numFmtId="0">
      <sharedItems containsBlank="1"/>
    </cacheField>
    <cacheField name="mabx" numFmtId="0">
      <sharedItems containsBlank="1"/>
    </cacheField>
    <cacheField name="manoivc" numFmtId="0">
      <sharedItems containsBlank="1"/>
    </cacheField>
    <cacheField name="manvbh" numFmtId="0">
      <sharedItems containsBlank="1"/>
    </cacheField>
    <cacheField name="locked" numFmtId="0">
      <sharedItems containsBlank="1"/>
    </cacheField>
    <cacheField name="masoctkm" numFmtId="0">
      <sharedItems containsBlank="1"/>
    </cacheField>
    <cacheField name="matk" numFmtId="0">
      <sharedItems containsBlank="1"/>
    </cacheField>
    <cacheField name="ngoaigio" numFmtId="0">
      <sharedItems containsBlank="1"/>
    </cacheField>
    <cacheField name="port_id" numFmtId="0">
      <sharedItems containsBlank="1"/>
    </cacheField>
    <cacheField name="quydoi" numFmtId="0">
      <sharedItems containsBlank="1"/>
    </cacheField>
    <cacheField name="sohdong" numFmtId="0">
      <sharedItems containsBlank="1"/>
    </cacheField>
    <cacheField name="tienthue" numFmtId="0">
      <sharedItems containsString="0" containsBlank="1" containsNumber="1" containsInteger="1" minValue="0" maxValue="0"/>
    </cacheField>
    <cacheField name="malohang" numFmtId="0">
      <sharedItems containsBlank="1"/>
    </cacheField>
    <cacheField name="maso" numFmtId="0">
      <sharedItems containsBlank="1"/>
    </cacheField>
    <cacheField name="manvvc" numFmtId="0">
      <sharedItems containsBlank="1"/>
    </cacheField>
    <cacheField name="iddonhang" numFmtId="0">
      <sharedItems containsBlank="1"/>
    </cacheField>
    <cacheField name="masoctdg" numFmtId="0">
      <sharedItems containsBlank="1"/>
    </cacheField>
    <cacheField name="diachi" numFmtId="0">
      <sharedItems containsBlank="1"/>
    </cacheField>
    <cacheField name="matracuu" numFmtId="0">
      <sharedItems containsBlank="1"/>
    </cacheField>
    <cacheField name="tenkh" numFmtId="0">
      <sharedItems containsBlank="1"/>
    </cacheField>
    <cacheField name="tennvvc" numFmtId="0">
      <sharedItems containsBlank="1"/>
    </cacheField>
    <cacheField name="po" numFmtId="0">
      <sharedItems containsBlank="1"/>
    </cacheField>
    <cacheField name="tennvbh" numFmtId="0">
      <sharedItems containsBlank="1"/>
    </cacheField>
    <cacheField name="giobd" numFmtId="0">
      <sharedItems containsBlank="1"/>
    </cacheField>
    <cacheField name="giokt" numFmtId="0">
      <sharedItems containsBlank="1"/>
    </cacheField>
    <cacheField name="masp_com" numFmtId="0">
      <sharedItems containsBlank="1"/>
    </cacheField>
    <cacheField name="tensp_com" numFmtId="0">
      <sharedItems containsBlank="1"/>
    </cacheField>
    <cacheField name="masp_brand" numFmtId="0">
      <sharedItems containsBlank="1"/>
    </cacheField>
    <cacheField name="brand_name" numFmtId="0">
      <sharedItems containsBlank="1"/>
    </cacheField>
    <cacheField name="kh_categ_id" numFmtId="0">
      <sharedItems containsBlank="1"/>
    </cacheField>
    <cacheField name="loaikh" numFmtId="0">
      <sharedItems containsBlank="1"/>
    </cacheField>
    <cacheField name="makenh" numFmtId="0">
      <sharedItems containsBlank="1"/>
    </cacheField>
    <cacheField name="tenkenh" numFmtId="0">
      <sharedItems containsBlank="1"/>
    </cacheField>
    <cacheField name="ngaygh" numFmtId="0">
      <sharedItems containsBlank="1"/>
    </cacheField>
    <cacheField name="idhuy" numFmtId="0">
      <sharedItems containsBlank="1"/>
    </cacheField>
    <cacheField name="sohd_huy" numFmtId="0">
      <sharedItems containsBlank="1"/>
    </cacheField>
    <cacheField name="ngayhd_hu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Dang Diem Le Vi" refreshedDate="44821.933403124996" createdVersion="6" refreshedVersion="6" minRefreshableVersion="3" recordCount="44">
  <cacheSource type="worksheet">
    <worksheetSource ref="A1:AW1048576" sheet="XUẤT HÓA ĐƠN"/>
  </cacheSource>
  <cacheFields count="49">
    <cacheField name="makhxuat" numFmtId="0">
      <sharedItems containsBlank="1"/>
    </cacheField>
    <cacheField name="STT" numFmtId="0">
      <sharedItems containsString="0" containsBlank="1" containsNumber="1" containsInteger="1" minValue="1" maxValue="9" count="10">
        <n v="1"/>
        <n v="2"/>
        <n v="3"/>
        <n v="4"/>
        <n v="5"/>
        <n v="6"/>
        <n v="7"/>
        <n v="8"/>
        <n v="9"/>
        <m/>
      </sharedItems>
    </cacheField>
    <cacheField name="SCT" numFmtId="0">
      <sharedItems containsBlank="1" count="30">
        <s v="00018848"/>
        <s v="00018850"/>
        <s v="00018836"/>
        <s v="00018837"/>
        <s v="00018838"/>
        <s v="00018847"/>
        <s v="00018840"/>
        <s v="00018854"/>
        <s v="00018855"/>
        <s v="00018841"/>
        <s v="00018851"/>
        <s v="00018857"/>
        <s v="00018860"/>
        <s v="00018835"/>
        <s v="00018852"/>
        <s v="00018833"/>
        <s v="00018853"/>
        <s v="00018856"/>
        <s v="00018845"/>
        <s v="00018859"/>
        <s v="00018834"/>
        <s v="00018842"/>
        <s v="00018846"/>
        <s v="00018844"/>
        <s v="00018861"/>
        <s v="00018849"/>
        <s v="00018839"/>
        <s v="00018858"/>
        <s v="00018843"/>
        <m/>
      </sharedItems>
    </cacheField>
    <cacheField name="makh" numFmtId="0">
      <sharedItems containsBlank="1"/>
    </cacheField>
    <cacheField name="makho" numFmtId="0">
      <sharedItems containsBlank="1"/>
    </cacheField>
    <cacheField name="maxn" numFmtId="0">
      <sharedItems containsBlank="1"/>
    </cacheField>
    <cacheField name="sohd" numFmtId="0">
      <sharedItems containsBlank="1"/>
    </cacheField>
    <cacheField name="masp" numFmtId="0">
      <sharedItems containsBlank="1" count="29">
        <s v="NC106"/>
        <s v="NVC02"/>
        <s v="NC102"/>
        <s v="NC360"/>
        <s v="N2601"/>
        <s v="NS360"/>
        <s v="NGC19"/>
        <s v="NC104"/>
        <s v="NC100"/>
        <s v="EC573"/>
        <s v="DN502"/>
        <s v="NGC20"/>
        <s v="EH554"/>
        <s v="NC044"/>
        <s v="N0502"/>
        <s v="NGH10"/>
        <s v="N8101"/>
        <s v="NGC17"/>
        <s v="NGC18"/>
        <s v="NTC01"/>
        <s v="NC109"/>
        <s v="N5503"/>
        <s v="NGM40"/>
        <s v="JL100"/>
        <s v="NC108"/>
        <s v="NC105"/>
        <s v="NTC51"/>
        <s v="NC101"/>
        <m/>
      </sharedItems>
    </cacheField>
    <cacheField name="tensp" numFmtId="0">
      <sharedItems containsBlank="1"/>
    </cacheField>
    <cacheField name="soluong" numFmtId="0">
      <sharedItems containsString="0" containsBlank="1" containsNumber="1" containsInteger="1" minValue="8" maxValue="3360"/>
    </cacheField>
    <cacheField name="id" numFmtId="0">
      <sharedItems containsBlank="1"/>
    </cacheField>
    <cacheField name="soxe" numFmtId="0">
      <sharedItems containsBlank="1"/>
    </cacheField>
    <cacheField name="dongia" numFmtId="0">
      <sharedItems containsString="0" containsBlank="1" containsNumber="1" containsInteger="1" minValue="10619" maxValue="110217"/>
    </cacheField>
    <cacheField name="sotien" numFmtId="0">
      <sharedItems containsString="0" containsBlank="1" containsNumber="1" containsInteger="1" minValue="552144" maxValue="115257600"/>
    </cacheField>
    <cacheField name="dongiant" numFmtId="0">
      <sharedItems containsString="0" containsBlank="1" containsNumber="1" containsInteger="1" minValue="0" maxValue="0"/>
    </cacheField>
    <cacheField name="sotiennt" numFmtId="0">
      <sharedItems containsString="0" containsBlank="1" containsNumber="1" containsInteger="1" minValue="0" maxValue="0"/>
    </cacheField>
    <cacheField name="hesothue" numFmtId="0">
      <sharedItems containsString="0" containsBlank="1" containsNumber="1" minValue="0" maxValue="0.1"/>
    </cacheField>
    <cacheField name="soserie" numFmtId="0">
      <sharedItems containsBlank="1"/>
    </cacheField>
    <cacheField name="sodhang" numFmtId="0">
      <sharedItems containsBlank="1"/>
    </cacheField>
    <cacheField name="maspdh" numFmtId="0">
      <sharedItems containsBlank="1"/>
    </cacheField>
    <cacheField name="ckey" numFmtId="0">
      <sharedItems containsBlank="1"/>
    </cacheField>
    <cacheField name="ckey_hdbh" numFmtId="0">
      <sharedItems containsBlank="1"/>
    </cacheField>
    <cacheField name="ghichu" numFmtId="0">
      <sharedItems containsBlank="1"/>
    </cacheField>
    <cacheField name="soluong_kg" numFmtId="0">
      <sharedItems containsString="0" containsBlank="1" containsNumber="1" minValue="30.9" maxValue="5760"/>
    </cacheField>
    <cacheField name="sothung" numFmtId="0">
      <sharedItems containsString="0" containsBlank="1" containsNumber="1" minValue="2" maxValue="400"/>
    </cacheField>
    <cacheField name="dathtoan" numFmtId="0">
      <sharedItems containsBlank="1"/>
    </cacheField>
    <cacheField name="htbocxep" numFmtId="0">
      <sharedItems containsBlank="1"/>
    </cacheField>
    <cacheField name="htthanhtoa" numFmtId="0">
      <sharedItems containsBlank="1"/>
    </cacheField>
    <cacheField name="mabx" numFmtId="0">
      <sharedItems containsBlank="1"/>
    </cacheField>
    <cacheField name="manoivc" numFmtId="0">
      <sharedItems containsBlank="1"/>
    </cacheField>
    <cacheField name="manvbh" numFmtId="0">
      <sharedItems containsBlank="1"/>
    </cacheField>
    <cacheField name="locked" numFmtId="0">
      <sharedItems containsBlank="1"/>
    </cacheField>
    <cacheField name="masoctkm" numFmtId="0">
      <sharedItems containsBlank="1"/>
    </cacheField>
    <cacheField name="matk" numFmtId="0">
      <sharedItems containsBlank="1"/>
    </cacheField>
    <cacheField name="ngoaigio" numFmtId="0">
      <sharedItems containsBlank="1"/>
    </cacheField>
    <cacheField name="port_id" numFmtId="0">
      <sharedItems containsBlank="1"/>
    </cacheField>
    <cacheField name="quydoi" numFmtId="0">
      <sharedItems containsBlank="1"/>
    </cacheField>
    <cacheField name="sohdong" numFmtId="0">
      <sharedItems containsBlank="1"/>
    </cacheField>
    <cacheField name="tienthue" numFmtId="0">
      <sharedItems containsString="0" containsBlank="1" containsNumber="1" containsInteger="1" minValue="0" maxValue="0"/>
    </cacheField>
    <cacheField name="malohang" numFmtId="0">
      <sharedItems containsBlank="1"/>
    </cacheField>
    <cacheField name="maso" numFmtId="0">
      <sharedItems containsBlank="1"/>
    </cacheField>
    <cacheField name="manvvc" numFmtId="0">
      <sharedItems containsBlank="1"/>
    </cacheField>
    <cacheField name="iddonhang" numFmtId="0">
      <sharedItems containsBlank="1"/>
    </cacheField>
    <cacheField name="masoctdg" numFmtId="0">
      <sharedItems containsBlank="1"/>
    </cacheField>
    <cacheField name="diachi" numFmtId="0">
      <sharedItems containsBlank="1"/>
    </cacheField>
    <cacheField name="matracuu" numFmtId="0">
      <sharedItems containsBlank="1"/>
    </cacheField>
    <cacheField name="tenkh" numFmtId="0">
      <sharedItems containsBlank="1"/>
    </cacheField>
    <cacheField name="tennvvc" numFmtId="0">
      <sharedItems containsBlank="1"/>
    </cacheField>
    <cacheField name="po" numFmtId="0">
      <sharedItems containsBlank="1" count="7">
        <s v="75249755(805)15506"/>
        <s v="75256916(805)11086"/>
        <s v="75079627(805)15506"/>
        <s v="75249747(805)15506"/>
        <s v="75107988(805)11086"/>
        <s v="*75194108(8051)11086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3">
  <r>
    <n v="3386502"/>
    <s v="NÖÔÙC GIAËT HÖÔNG THAÛO MOÄC DD COOP SELECT 2L/C08"/>
    <n v="176"/>
    <n v="176"/>
    <s v="75079627(805)15506"/>
    <x v="0"/>
  </r>
  <r>
    <n v="3523226"/>
    <s v="BOÄT GIAËT LIXE CHANH 5,5KG/03-NÖÔÙC LAU ÑA NAÊNG ON1 500ML                     "/>
    <n v="210"/>
    <n v="210"/>
    <s v="75107988(805)11086"/>
    <x v="1"/>
  </r>
  <r>
    <n v="3437745"/>
    <s v="BOÄT GIAËT COOP HAPPY 9KG/02"/>
    <n v="480"/>
    <n v="480"/>
    <s v="75145343(805)15506"/>
    <x v="2"/>
  </r>
  <r>
    <n v="3160024"/>
    <s v="NÖÔÙC RÖÛA CHEÙN TRAØ XANH COOP SELECT 4L/C04"/>
    <n v="320"/>
    <n v="200"/>
    <s v="75249755(805)15506"/>
    <x v="3"/>
  </r>
  <r>
    <n v="3184823"/>
    <s v="BOÄT GIAËT HÖÔNG HOA COOP SELECT 2,2KG/05"/>
    <n v="200"/>
    <n v="200"/>
    <s v="75249755(805)15506"/>
    <x v="4"/>
  </r>
  <r>
    <n v="3184824"/>
    <s v="BOÄT GIAËT HÖÔNG HOA COOP SELECT 900G/12"/>
    <n v="160"/>
    <n v="160"/>
    <s v="75249755(805)15506"/>
    <x v="5"/>
  </r>
  <r>
    <n v="3217101"/>
    <s v="NÖÔÙC LAU SAØN BAÏC HAØ COOP SELECT 4L/C04"/>
    <n v="295"/>
    <n v="200"/>
    <s v="75249755(805)15506"/>
    <x v="6"/>
  </r>
  <r>
    <n v="3282513"/>
    <s v="NÖÔÙC LAØM MEÀM VAÛI DD HÖÔNG HOA COOP SELECT 1,8L/C08"/>
    <n v="140"/>
    <n v="140"/>
    <s v="75249755(805)15506"/>
    <x v="7"/>
  </r>
  <r>
    <n v="3386500"/>
    <s v="BOÄT GIAËT HÖÔNG THAÛO MOÄC CÖÛA TREÂN COOP SELECT 6KG/03"/>
    <n v="30"/>
    <n v="30"/>
    <s v="75249755(805)15506"/>
    <x v="8"/>
  </r>
  <r>
    <n v="3386502"/>
    <s v="NÖÔÙC GIAËT HÖÔNG THAÛO MOÄC DD COOP SELECT 2L/C08"/>
    <n v="128"/>
    <n v="128"/>
    <s v="75249755(805)15506"/>
    <x v="0"/>
  </r>
  <r>
    <n v="3386503"/>
    <s v="      NÖÔÙC GIAËT HÖÔNG THAÛO MOÄC DD COOP SELECT 2,5L/04TUI"/>
    <n v="80"/>
    <n v="80"/>
    <s v="75249755(805)15506"/>
    <x v="9"/>
  </r>
  <r>
    <n v="3386507"/>
    <s v="      NÖÔÙC RÖÛA CHEÙN HÖÔNG TAÙO COOP SELECT 4L/C4"/>
    <n v="160"/>
    <n v="160"/>
    <s v="75249755(805)15506"/>
    <x v="10"/>
  </r>
  <r>
    <n v="3408176"/>
    <s v="      NÖÔÙC GIAËT HÖÔNG THAÛO MOÄC CÖÛA TRÖÔÙC COOP SELECT 2.5L/04TUI"/>
    <n v="30"/>
    <n v="30"/>
    <s v="75249755(805)15506"/>
    <x v="11"/>
  </r>
  <r>
    <n v="3517119"/>
    <s v="      NÖÔÙC RÖÛA CHEÙN COOP SELECT TINH DAÀU GÖØNG CAM 500G/CH20"/>
    <n v="66"/>
    <n v="66"/>
    <s v="75249755(805)15506"/>
    <x v="12"/>
  </r>
  <r>
    <n v="3408174"/>
    <s v="      NÖÔÙC GIAËT HÖÔNG THAÛO MOÄC CÖÛA TRÖÔÙC COOP SELECT 4L/C04"/>
    <n v="32"/>
    <n v="32"/>
    <s v="75249755(805)15506"/>
    <x v="13"/>
  </r>
  <r>
    <n v="3160021"/>
    <s v="      NÖÔÙC RÖÛA CHEÙN HÖÔNG CHANH COOP SELECT 1,8L/C08"/>
    <n v="90"/>
    <n v="90"/>
    <s v="75249747(805)15506"/>
    <x v="14"/>
  </r>
  <r>
    <n v="3160022"/>
    <s v="      NÖÔÙC RÖÛA CHEÙN TRAØ XANH COOP SELECT 1,8L/C8"/>
    <n v="90"/>
    <n v="90"/>
    <s v="75249747(805)15506"/>
    <x v="15"/>
  </r>
  <r>
    <n v="3217105"/>
    <s v="      NÖÔÙC TAÅY TOILET COOP SELECT 500ML/C24"/>
    <n v="72"/>
    <n v="72"/>
    <s v="75249747(805)15506"/>
    <x v="16"/>
  </r>
  <r>
    <n v="3333828"/>
    <s v="      NÖÔÙC TAÅY QUAÀN AÙO COOP SELECT 1KG/C12"/>
    <n v="468"/>
    <n v="200"/>
    <s v="75249747(805)15506"/>
    <x v="17"/>
  </r>
  <r>
    <n v="3333830"/>
    <s v="      NÖÔÙC TAÅY QUAÀN AÙO COOP SELECT 1,9KG/C08"/>
    <n v="840"/>
    <n v="0"/>
    <s v="75249747(805)15506"/>
    <x v="18"/>
  </r>
  <r>
    <n v="3333833"/>
    <s v="      NÖÔÙC LAU KÍNH COOP SELECT 620ML/C18"/>
    <n v="144"/>
    <n v="144"/>
    <s v="75249747(805)15506"/>
    <x v="19"/>
  </r>
  <r>
    <n v="3333834"/>
    <s v="      NÖÔÙC LAU KÍNH COOP SELECT 800ML/C12"/>
    <n v="88"/>
    <n v="88"/>
    <s v="75249747(805)15506"/>
    <x v="20"/>
  </r>
  <r>
    <n v="3333835"/>
    <s v="      NÖÔÙC LAU BEÁP COOP SELECT 620ML/CH18"/>
    <n v="36"/>
    <n v="36"/>
    <s v="75249747(805)15506"/>
    <x v="21"/>
  </r>
  <r>
    <n v="3343735"/>
    <s v="      BOÄT GIAËT HÖÔNG HOA COOP SELECT 9KG/02"/>
    <n v="501"/>
    <n v="0"/>
    <s v="75249747(805)15506"/>
    <x v="22"/>
  </r>
  <r>
    <n v="3372212"/>
    <s v="      NÖÔÙC RÖÛA CHEÙN HÖÔNG CHANH COOP SELECT 800ML/12TUI"/>
    <n v="280"/>
    <n v="280"/>
    <s v="75249747(805)15506"/>
    <x v="23"/>
  </r>
  <r>
    <n v="3372213"/>
    <s v="      NÖÔÙC RÖÛA CHEÙN TRAØ XANH COOP SELECT 800ML/12TUI"/>
    <n v="120"/>
    <n v="120"/>
    <s v="75249747(805)15506"/>
    <x v="24"/>
  </r>
  <r>
    <n v="3386508"/>
    <s v="      NÖÔÙC RÖÛA CHEÙN HÖÔNG TAÙO COOP SELECT 1,8/C8"/>
    <n v="135"/>
    <n v="135"/>
    <s v="75249747(805)15506"/>
    <x v="25"/>
  </r>
  <r>
    <n v="3386509"/>
    <s v="      NÖÔÙC RÖÛA CHEÙN HÖÔNG TAÙO COOP SELECT 800ML/12TUI"/>
    <n v="40"/>
    <n v="40"/>
    <s v="75249747(805)15506"/>
    <x v="26"/>
  </r>
  <r>
    <n v="3162956"/>
    <s v="NÖÔÙC RÖÛA CHEÙN LIX CHANH 3,6KG/C04"/>
    <n v="800"/>
    <n v="400"/>
    <s v="75256916(805)11086"/>
    <x v="27"/>
  </r>
  <r>
    <n v="3299908"/>
    <s v="NÖÔÙC RÖÛA CHEÙN SIEÂU SAÏCH CHANH 3,6KG/C04"/>
    <n v="800"/>
    <n v="400"/>
    <s v="75256916(805)11086"/>
    <x v="28"/>
  </r>
  <r>
    <n v="3318660"/>
    <s v="NÖÔÙC TAÅY JAVEL LIX 1KG/CH12"/>
    <n v="72"/>
    <n v="72"/>
    <s v="75256916(805)11086"/>
    <x v="29"/>
  </r>
  <r>
    <n v="3384714"/>
    <s v="NÖÔÙC RÖÛA CHEÙN SIEÂU SAÏCH TRAØ 3,6KG/C04"/>
    <n v="400"/>
    <n v="400"/>
    <s v="75256916(805)11086"/>
    <x v="30"/>
  </r>
  <r>
    <n v="3515844"/>
    <s v="NÖÔÙC RÖÛA CHEÙN ON1 TINH DAÀU GÖØNG SAÛ 1KG/CH12"/>
    <n v="88"/>
    <n v="88"/>
    <s v="75256916(805)11086"/>
    <x v="31"/>
  </r>
  <r>
    <n v="3517389"/>
    <s v="GEL TAÅY BOÀN CAÀU &amp; NHAØ TAÉM ON1 900G/CH12"/>
    <n v="44"/>
    <n v="44"/>
    <s v="75256916(805)11086"/>
    <x v="32"/>
  </r>
  <r>
    <n v="3523170"/>
    <s v="BOÄT GIAËT LIX ÑAÄM ÑAËC 5,5KG/03"/>
    <n v="400"/>
    <n v="400"/>
    <s v="75256916(805)11086"/>
    <x v="33"/>
  </r>
  <r>
    <n v="3524621"/>
    <s v="NÖÔÙC GIAËT LIX HÖÔNG NÖÔÙC HOA 3,6KG/C04"/>
    <n v="600"/>
    <n v="300"/>
    <s v="75256916(805)11086"/>
    <x v="34"/>
  </r>
  <r>
    <n v="3524622"/>
    <s v="NÖÔÙC GIAËT LIX MATIC HÖÔNG NÖÔÙC HOA 3,6KG/C04"/>
    <n v="300"/>
    <n v="300"/>
    <s v="75256916(805)11086"/>
    <x v="35"/>
  </r>
  <r>
    <n v="3527404"/>
    <s v="NÖÔÙC RÖÛA CHEÙN SIEÂU SAÏCH CHANH 3,5KG/T04 (TUÙI)"/>
    <n v="300"/>
    <n v="0"/>
    <s v="75256916(805)11086"/>
    <x v="36"/>
  </r>
  <r>
    <n v="3527405"/>
    <s v="NÖÔÙC RÖÛA CHEÙN SIEÂU SAÏCH TRAØ 3,5KG/T04 (TUÙI)"/>
    <n v="150"/>
    <n v="150"/>
    <s v="75256916(805)11086"/>
    <x v="37"/>
  </r>
  <r>
    <n v="3547301"/>
    <s v="NÖÔÙC GIAËT LIX MATIC HÖÔNG BAMBOO 3,6KG/C04                                    "/>
    <n v="200"/>
    <n v="200"/>
    <s v="75256916(805)11086"/>
    <x v="38"/>
  </r>
  <r>
    <n v="3439492"/>
    <s v="BOÄT GIAËT LIXE HÖÔNG NÖÔÙC HOA 5,5KG/03"/>
    <n v="291"/>
    <n v="291"/>
    <s v="*75194108(8051)11086"/>
    <x v="39"/>
  </r>
  <r>
    <n v="3439492"/>
    <s v="BOÄT GIAËT LIXE HÖÔNG NÖÔÙC HOA 5,5KG/03"/>
    <n v="10"/>
    <n v="10"/>
    <s v="75206790(8051)11086"/>
    <x v="39"/>
  </r>
  <r>
    <n v="3439492"/>
    <s v="BOÄT GIAËT LIXE HÖÔNG NÖÔÙC HOA 5,5KG/03"/>
    <n v="42"/>
    <n v="42"/>
    <s v="75206557(8051)11086"/>
    <x v="39"/>
  </r>
  <r>
    <n v="3439492"/>
    <s v="BOÄT GIAËT LIXE HÖÔNG NÖÔÙC HOA 5,5KG/03"/>
    <n v="2"/>
    <n v="2"/>
    <s v="75206871(8051)11086"/>
    <x v="39"/>
  </r>
  <r>
    <m/>
    <m/>
    <m/>
    <m/>
    <m/>
    <x v="40"/>
  </r>
  <r>
    <m/>
    <m/>
    <m/>
    <m/>
    <m/>
    <x v="40"/>
  </r>
  <r>
    <m/>
    <m/>
    <m/>
    <m/>
    <m/>
    <x v="40"/>
  </r>
  <r>
    <m/>
    <m/>
    <m/>
    <m/>
    <m/>
    <x v="40"/>
  </r>
  <r>
    <m/>
    <m/>
    <m/>
    <m/>
    <m/>
    <x v="40"/>
  </r>
  <r>
    <m/>
    <m/>
    <m/>
    <m/>
    <m/>
    <x v="40"/>
  </r>
  <r>
    <m/>
    <m/>
    <m/>
    <m/>
    <m/>
    <x v="40"/>
  </r>
  <r>
    <m/>
    <m/>
    <m/>
    <m/>
    <m/>
    <x v="40"/>
  </r>
  <r>
    <m/>
    <m/>
    <m/>
    <m/>
    <m/>
    <x v="40"/>
  </r>
  <r>
    <m/>
    <m/>
    <m/>
    <m/>
    <m/>
    <x v="40"/>
  </r>
  <r>
    <m/>
    <m/>
    <m/>
    <m/>
    <m/>
    <x v="40"/>
  </r>
  <r>
    <m/>
    <m/>
    <m/>
    <m/>
    <m/>
    <x v="40"/>
  </r>
  <r>
    <m/>
    <m/>
    <m/>
    <m/>
    <m/>
    <x v="40"/>
  </r>
  <r>
    <m/>
    <m/>
    <m/>
    <m/>
    <m/>
    <x v="40"/>
  </r>
  <r>
    <m/>
    <m/>
    <m/>
    <m/>
    <m/>
    <x v="40"/>
  </r>
  <r>
    <m/>
    <m/>
    <m/>
    <m/>
    <m/>
    <x v="40"/>
  </r>
  <r>
    <m/>
    <m/>
    <m/>
    <m/>
    <m/>
    <x v="40"/>
  </r>
  <r>
    <m/>
    <m/>
    <m/>
    <m/>
    <m/>
    <x v="40"/>
  </r>
  <r>
    <m/>
    <m/>
    <m/>
    <m/>
    <m/>
    <x v="40"/>
  </r>
  <r>
    <m/>
    <m/>
    <m/>
    <m/>
    <m/>
    <x v="40"/>
  </r>
  <r>
    <m/>
    <m/>
    <m/>
    <m/>
    <m/>
    <x v="40"/>
  </r>
  <r>
    <m/>
    <m/>
    <m/>
    <m/>
    <m/>
    <x v="40"/>
  </r>
  <r>
    <m/>
    <m/>
    <m/>
    <m/>
    <m/>
    <x v="40"/>
  </r>
  <r>
    <m/>
    <m/>
    <m/>
    <m/>
    <m/>
    <x v="40"/>
  </r>
  <r>
    <m/>
    <m/>
    <m/>
    <m/>
    <m/>
    <x v="40"/>
  </r>
  <r>
    <m/>
    <m/>
    <m/>
    <m/>
    <m/>
    <x v="40"/>
  </r>
  <r>
    <m/>
    <m/>
    <m/>
    <m/>
    <m/>
    <x v="40"/>
  </r>
  <r>
    <m/>
    <m/>
    <m/>
    <m/>
    <m/>
    <x v="40"/>
  </r>
  <r>
    <m/>
    <m/>
    <m/>
    <m/>
    <m/>
    <x v="4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4">
  <r>
    <s v="CO125"/>
    <n v="1"/>
    <s v="00018848"/>
    <s v="HT016"/>
    <s v="F"/>
    <s v="1"/>
    <s v=""/>
    <x v="0"/>
    <s v="NÖÔÙC RÖÛA CHEÙN TRAØ XANH COOP SELECT 4L/C04"/>
    <n v="760"/>
    <s v="00674432"/>
    <s v="51C 36017"/>
    <n v="59793"/>
    <n v="45442680"/>
    <n v="0"/>
    <n v="0"/>
    <n v="0.1"/>
    <s v="111"/>
    <s v="2022-09/04196"/>
    <s v=""/>
    <s v="02216355"/>
    <s v=""/>
    <s v=""/>
    <n v="3100.8"/>
    <n v="190"/>
    <b v="0"/>
    <s v=""/>
    <s v="CK"/>
    <s v=""/>
    <s v="0541"/>
    <s v=""/>
    <b v="0"/>
    <s v="CT10107"/>
    <s v=""/>
    <b v="0"/>
    <s v=""/>
    <s v=""/>
    <s v=""/>
    <n v="0"/>
    <s v=""/>
    <s v="4 CAN/THUØNG"/>
    <s v=""/>
    <s v="00241936"/>
    <s v="DG026210"/>
    <s v="CHI NHAÙNH BÌNH DÖÔNG GIAO HAØNG SAØI GOØN CO-OP SOÙNG THAÀN"/>
    <s v=""/>
    <s v="TRUNG TAÂM PHAÂN PHOÁI SAIGON CO.OP"/>
    <s v=""/>
    <s v="75249755(805)15506"/>
    <s v=""/>
    <s v="  -   -"/>
    <s v="  -   -"/>
    <s v="C16"/>
    <s v="NRC CO-OP TRAØ 4L/C04"/>
    <s v="NC1"/>
    <s v="NRC CO-OP"/>
    <s v="SC"/>
    <s v="SIEÂU THÒ COOP"/>
    <s v="02"/>
    <s v="KEÂNH SIEÂU THÒ"/>
    <s v="30-Sep-22"/>
    <s v=""/>
    <s v=""/>
    <s v="  -   -"/>
  </r>
  <r>
    <s v="CO125"/>
    <n v="1"/>
    <s v="00018848"/>
    <s v="HT016"/>
    <s v="F"/>
    <s v="1"/>
    <s v=""/>
    <x v="1"/>
    <s v="NÖÔÙC LAØM MEÀM VAÛI DD HÖÔNG HOA COOP SELECT 1,8L/C08"/>
    <n v="608"/>
    <s v="00674432"/>
    <s v="51C 36017"/>
    <n v="53647"/>
    <n v="32617376"/>
    <n v="0"/>
    <n v="0"/>
    <n v="0.1"/>
    <s v="111"/>
    <s v="2022-09/04196"/>
    <s v=""/>
    <s v="02216356"/>
    <s v=""/>
    <s v=""/>
    <n v="1083.46"/>
    <n v="76"/>
    <b v="0"/>
    <s v=""/>
    <s v="CK"/>
    <s v=""/>
    <s v="0541"/>
    <s v=""/>
    <b v="0"/>
    <s v="CT10107"/>
    <s v=""/>
    <b v="0"/>
    <s v=""/>
    <s v=""/>
    <s v=""/>
    <n v="0"/>
    <s v=""/>
    <s v="8 CAN/THUØNG"/>
    <s v=""/>
    <s v="00241936"/>
    <s v="DG026210"/>
    <s v="CHI NHAÙNH BÌNH DÖÔNG GIAO HAØNG SAØI GOØN CO-OP SOÙNG THAÀN"/>
    <s v=""/>
    <s v="TRUNG TAÂM PHAÂN PHOÁI SAIGON CO.OP"/>
    <s v=""/>
    <s v="75249755(805)15506"/>
    <s v=""/>
    <s v="  -   -"/>
    <s v="  -   -"/>
    <s v="XV1"/>
    <s v="NLMV CO-OP 1,8L/C08"/>
    <s v="XVC"/>
    <s v="NLMV CO-OP"/>
    <s v="SC"/>
    <s v="SIEÂU THÒ COOP"/>
    <s v="02"/>
    <s v="KEÂNH SIEÂU THÒ"/>
    <s v="30-Sep-22"/>
    <s v=""/>
    <s v=""/>
    <s v="  -   -"/>
  </r>
  <r>
    <s v="CO125"/>
    <n v="1"/>
    <s v="00018848"/>
    <s v="HT016"/>
    <s v="F"/>
    <s v="1"/>
    <s v=""/>
    <x v="2"/>
    <s v="NÖÔÙC RÖÛA CHEÙN HÖÔNG TAÙO COOP SELECT 4L/C4"/>
    <n v="608"/>
    <s v="00674432"/>
    <s v="51C 36017"/>
    <n v="56946"/>
    <n v="34623168"/>
    <n v="0"/>
    <n v="0"/>
    <n v="0.1"/>
    <s v="111"/>
    <s v="2022-09/04196"/>
    <s v=""/>
    <s v="02216357"/>
    <s v=""/>
    <s v=""/>
    <n v="2480.64"/>
    <n v="152"/>
    <b v="0"/>
    <s v=""/>
    <s v="CK"/>
    <s v=""/>
    <s v="0541"/>
    <s v=""/>
    <b v="0"/>
    <s v="CT10107"/>
    <s v=""/>
    <b v="0"/>
    <s v=""/>
    <s v=""/>
    <s v=""/>
    <n v="0"/>
    <s v=""/>
    <s v="4 CAN/THUØNG"/>
    <s v=""/>
    <s v="00241936"/>
    <s v="DG026210"/>
    <s v="CHI NHAÙNH BÌNH DÖÔNG GIAO HAØNG SAØI GOØN CO-OP SOÙNG THAÀN"/>
    <s v=""/>
    <s v="TRUNG TAÂM PHAÂN PHOÁI SAIGON CO.OP"/>
    <s v=""/>
    <s v="75249755(805)15506"/>
    <s v=""/>
    <s v="  -   -"/>
    <s v="  -   -"/>
    <s v="C04"/>
    <s v="NRC CO-OP DK 4KG/C04"/>
    <s v="NC1"/>
    <s v="NRC CO-OP"/>
    <s v="SC"/>
    <s v="SIEÂU THÒ COOP"/>
    <s v="02"/>
    <s v="KEÂNH SIEÂU THÒ"/>
    <s v="30-Sep-22"/>
    <s v=""/>
    <s v=""/>
    <s v="  -   -"/>
  </r>
  <r>
    <s v="CO125"/>
    <n v="1"/>
    <s v="00018850"/>
    <s v="HT016"/>
    <s v="F"/>
    <s v="("/>
    <s v=""/>
    <x v="0"/>
    <s v="NÖÔÙC RÖÛA CHEÙN TRAØ XANH COOP SELECT 4L/C04"/>
    <n v="40"/>
    <s v="00674433"/>
    <s v="51C 36017"/>
    <n v="44887"/>
    <n v="1795480"/>
    <n v="0"/>
    <n v="0"/>
    <n v="0"/>
    <s v=""/>
    <s v="2022-09/04196"/>
    <s v="NC106"/>
    <s v="02216358"/>
    <s v="02216355"/>
    <s v="_x000d__x000a_Haøng khuyeán maïi"/>
    <n v="163.19999999999999"/>
    <n v="10"/>
    <b v="0"/>
    <s v=""/>
    <s v="CK"/>
    <s v=""/>
    <s v="0541"/>
    <s v=""/>
    <b v="0"/>
    <s v="CT10107"/>
    <s v=""/>
    <b v="0"/>
    <s v=""/>
    <s v=""/>
    <s v=""/>
    <n v="0"/>
    <s v=""/>
    <s v="4 CAN/THUØNG"/>
    <s v=""/>
    <s v="00241936"/>
    <s v="DG026210"/>
    <s v="CHI NHAÙNH BÌNH DÖÔNG GIAO HAØNG SAØI GOØN CO-OP SOÙNG THAÀN"/>
    <s v=""/>
    <s v="TRUNG TAÂM PHAÂN PHOÁI SAIGON CO.OP"/>
    <s v=""/>
    <s v="75249755(805)15506"/>
    <s v=""/>
    <s v="  -   -"/>
    <s v="  -   -"/>
    <s v="C16"/>
    <s v="NRC CO-OP TRAØ 4L/C04"/>
    <s v="NC1"/>
    <s v="NRC CO-OP"/>
    <s v="SC"/>
    <s v="SIEÂU THÒ COOP"/>
    <s v="02"/>
    <s v="KEÂNH SIEÂU THÒ"/>
    <s v="30-Sep-22"/>
    <s v=""/>
    <s v=""/>
    <s v="  -   -"/>
  </r>
  <r>
    <s v="CO125"/>
    <n v="1"/>
    <s v="00018850"/>
    <s v="HT016"/>
    <s v="F"/>
    <s v="("/>
    <s v=""/>
    <x v="1"/>
    <s v="NÖÔÙC LAØM MEÀM VAÛI DD HÖÔNG HOA COOP SELECT 1,8L/C08"/>
    <n v="32"/>
    <s v="00674433"/>
    <s v="51C 36017"/>
    <n v="38878"/>
    <n v="1244096"/>
    <n v="0"/>
    <n v="0"/>
    <n v="0"/>
    <s v=""/>
    <s v="2022-09/04196"/>
    <s v="NVC02"/>
    <s v="02216359"/>
    <s v="02216356"/>
    <s v="_x000d__x000a_Haøng khuyeán maïi"/>
    <n v="57.02"/>
    <n v="4"/>
    <b v="0"/>
    <s v=""/>
    <s v="CK"/>
    <s v=""/>
    <s v="0541"/>
    <s v=""/>
    <b v="0"/>
    <s v="CT10107"/>
    <s v=""/>
    <b v="0"/>
    <s v=""/>
    <s v=""/>
    <s v=""/>
    <n v="0"/>
    <s v=""/>
    <s v="8 CAN/THUØNG"/>
    <s v=""/>
    <s v="00241936"/>
    <s v="DG026210"/>
    <s v="CHI NHAÙNH BÌNH DÖÔNG GIAO HAØNG SAØI GOØN CO-OP SOÙNG THAÀN"/>
    <s v=""/>
    <s v="TRUNG TAÂM PHAÂN PHOÁI SAIGON CO.OP"/>
    <s v=""/>
    <s v="75249755(805)15506"/>
    <s v=""/>
    <s v="  -   -"/>
    <s v="  -   -"/>
    <s v="XV1"/>
    <s v="NLMV CO-OP 1,8L/C08"/>
    <s v="XVC"/>
    <s v="NLMV CO-OP"/>
    <s v="SC"/>
    <s v="SIEÂU THÒ COOP"/>
    <s v="02"/>
    <s v="KEÂNH SIEÂU THÒ"/>
    <s v="30-Sep-22"/>
    <s v=""/>
    <s v=""/>
    <s v="  -   -"/>
  </r>
  <r>
    <s v="CO125"/>
    <n v="1"/>
    <s v="00018850"/>
    <s v="HT016"/>
    <s v="F"/>
    <s v="("/>
    <s v=""/>
    <x v="2"/>
    <s v="NÖÔÙC RÖÛA CHEÙN HÖÔNG TAÙO COOP SELECT 4L/C4"/>
    <n v="32"/>
    <s v="00674433"/>
    <s v="51C 36017"/>
    <n v="43661"/>
    <n v="1397152"/>
    <n v="0"/>
    <n v="0"/>
    <n v="0"/>
    <s v=""/>
    <s v="2022-09/04196"/>
    <s v="NC102"/>
    <s v="02216360"/>
    <s v="02216357"/>
    <s v="_x000d__x000a_Haøng khuyeán maïi"/>
    <n v="130.56"/>
    <n v="8"/>
    <b v="0"/>
    <s v=""/>
    <s v="CK"/>
    <s v=""/>
    <s v="0541"/>
    <s v=""/>
    <b v="0"/>
    <s v="CT10107"/>
    <s v=""/>
    <b v="0"/>
    <s v=""/>
    <s v=""/>
    <s v=""/>
    <n v="0"/>
    <s v=""/>
    <s v="4 CAN/THUØNG"/>
    <s v=""/>
    <s v="00241936"/>
    <s v="DG026210"/>
    <s v="CHI NHAÙNH BÌNH DÖÔNG GIAO HAØNG SAØI GOØN CO-OP SOÙNG THAÀN"/>
    <s v=""/>
    <s v="TRUNG TAÂM PHAÂN PHOÁI SAIGON CO.OP"/>
    <s v=""/>
    <s v="75249755(805)15506"/>
    <s v=""/>
    <s v="  -   -"/>
    <s v="  -   -"/>
    <s v="C04"/>
    <s v="NRC CO-OP DK 4KG/C04"/>
    <s v="NC1"/>
    <s v="NRC CO-OP"/>
    <s v="SC"/>
    <s v="SIEÂU THÒ COOP"/>
    <s v="02"/>
    <s v="KEÂNH SIEÂU THÒ"/>
    <s v="30-Sep-22"/>
    <s v=""/>
    <s v=""/>
    <s v="  -   -"/>
  </r>
  <r>
    <s v="CO125"/>
    <n v="2"/>
    <s v="00018836"/>
    <s v="HT016"/>
    <s v="F"/>
    <s v="E"/>
    <s v=""/>
    <x v="3"/>
    <s v="NÖÔÙC RÖÛA CHEÙN LIX CHANH 3,6KG/C04"/>
    <n v="1600"/>
    <s v="00674434"/>
    <s v="51C 36017"/>
    <n v="55624"/>
    <n v="88998400"/>
    <n v="0"/>
    <n v="0"/>
    <n v="0.1"/>
    <s v=""/>
    <s v="2022-09/04224"/>
    <s v=""/>
    <s v="02216361"/>
    <s v=""/>
    <s v=""/>
    <n v="5760"/>
    <n v="400"/>
    <b v="0"/>
    <s v=""/>
    <s v="CK"/>
    <s v=""/>
    <s v="0541"/>
    <s v=""/>
    <b v="0"/>
    <s v="CT10107"/>
    <s v=""/>
    <b v="0"/>
    <s v=""/>
    <s v=""/>
    <s v=""/>
    <n v="0"/>
    <s v=""/>
    <s v="4 CAN/THUNG"/>
    <s v=""/>
    <s v="00241970"/>
    <s v="DG026210"/>
    <s v="CHI NHAÙNH BÌNH DÖÔNG GIAO HAØNG SAØI GOØN CO-OP SOÙNG THAÀN"/>
    <s v=""/>
    <s v="TRUNG TAÂM PHAÂN PHOÁI SAIGON CO.OP"/>
    <s v=""/>
    <s v="75256916(805)11086"/>
    <s v=""/>
    <s v="  -   -"/>
    <s v="  -   -"/>
    <s v="N36"/>
    <s v="NRC LIX CHANH 3,6KG/C04"/>
    <s v="NRL"/>
    <s v="NRC LIX CHANH"/>
    <s v="SC"/>
    <s v="SIEÂU THÒ COOP"/>
    <s v="02"/>
    <s v="KEÂNH SIEÂU THÒ"/>
    <s v="30-Sep-22"/>
    <s v=""/>
    <s v=""/>
    <s v="  -   -"/>
  </r>
  <r>
    <s v="CO125"/>
    <n v="2"/>
    <s v="00018836"/>
    <s v="HT016"/>
    <s v="F"/>
    <s v="E"/>
    <s v=""/>
    <x v="4"/>
    <s v="NÖÔÙC GIAËT LIX MATIC HÖÔNG BAMBOO 3,6KG/C04"/>
    <n v="600"/>
    <s v="00674434"/>
    <s v="51C 36017"/>
    <n v="80560"/>
    <n v="48336000"/>
    <n v="0"/>
    <n v="0"/>
    <n v="0.1"/>
    <s v=""/>
    <s v="2022-09/04224"/>
    <s v=""/>
    <s v="02216362"/>
    <s v=""/>
    <s v=""/>
    <n v="2160"/>
    <n v="150"/>
    <b v="0"/>
    <s v=""/>
    <s v="CK"/>
    <s v=""/>
    <s v="0541"/>
    <s v=""/>
    <b v="0"/>
    <s v="CT10107"/>
    <s v=""/>
    <b v="0"/>
    <s v=""/>
    <s v=""/>
    <s v=""/>
    <n v="0"/>
    <s v=""/>
    <s v="4 CAN/THUØNG"/>
    <s v=""/>
    <s v="00241970"/>
    <s v="DG026210"/>
    <s v="CHI NHAÙNH BÌNH DÖÔNG GIAO HAØNG SAØI GOØN CO-OP SOÙNG THAÀN"/>
    <s v=""/>
    <s v="TRUNG TAÂM PHAÂN PHOÁI SAIGON CO.OP"/>
    <s v=""/>
    <s v="75256916(805)11086"/>
    <s v=""/>
    <s v="  -   -"/>
    <s v="  -   -"/>
    <s v="261"/>
    <s v="NG LIX MATIC HÖÔNG BAMBOO 3,6KG/C04"/>
    <s v="N26"/>
    <s v="NG LIX MATIC HÖÔNG BAMBOO"/>
    <s v="SC"/>
    <s v="SIEÂU THÒ COOP"/>
    <s v="02"/>
    <s v="KEÂNH SIEÂU THÒ"/>
    <s v="30-Sep-22"/>
    <s v=""/>
    <s v=""/>
    <s v="  -   -"/>
  </r>
  <r>
    <s v="CO125"/>
    <n v="3"/>
    <s v="00018837"/>
    <s v="HT016"/>
    <s v="F"/>
    <s v="E"/>
    <s v=""/>
    <x v="5"/>
    <s v="NÖÔÙC RÖÛA CHEÙN SIEÂU SAÏCH CHANH 3,6KG/C04"/>
    <n v="1600"/>
    <s v="00674435"/>
    <s v="51C 36017"/>
    <n v="47775"/>
    <n v="76440000"/>
    <n v="0"/>
    <n v="0"/>
    <n v="0.1"/>
    <s v=""/>
    <s v="2022-09/04224"/>
    <s v=""/>
    <s v="02216363"/>
    <s v=""/>
    <s v=""/>
    <n v="5760"/>
    <n v="400"/>
    <b v="0"/>
    <s v=""/>
    <s v="CK"/>
    <s v=""/>
    <s v="0541"/>
    <s v=""/>
    <b v="0"/>
    <s v="CT10107"/>
    <s v=""/>
    <b v="0"/>
    <s v=""/>
    <s v=""/>
    <s v=""/>
    <n v="0"/>
    <s v=""/>
    <s v="4 CAN/THUØNG"/>
    <s v=""/>
    <s v="00241970"/>
    <s v="DG026210"/>
    <s v="CHI NHAÙNH BÌNH DÖÔNG GIAO HAØNG SAØI GOØN CO-OP SOÙNG THAÀN"/>
    <s v=""/>
    <s v="TRUNG TAÂM PHAÂN PHOÁI SAIGON CO.OP"/>
    <s v=""/>
    <s v="75256916(805)11086"/>
    <s v=""/>
    <s v="  -   -"/>
    <s v="  -   -"/>
    <s v="S38"/>
    <s v="NRC SS CHANH 3,6KG/C04"/>
    <s v="NS1"/>
    <s v="NRC SIEÂU SAÏCH CHANH"/>
    <s v="SC"/>
    <s v="SIEÂU THÒ COOP"/>
    <s v="02"/>
    <s v="KEÂNH SIEÂU THÒ"/>
    <s v="30-Sep-22"/>
    <s v=""/>
    <s v=""/>
    <s v="  -   -"/>
  </r>
  <r>
    <s v="CO125"/>
    <n v="3"/>
    <s v="00018837"/>
    <s v="HT016"/>
    <s v="F"/>
    <s v="E"/>
    <s v=""/>
    <x v="4"/>
    <s v="NÖÔÙC GIAËT LIX MATIC HÖÔNG BAMBOO 3,6KG/C04"/>
    <n v="200"/>
    <s v="00674435"/>
    <s v="51C 36017"/>
    <n v="80560"/>
    <n v="16112000"/>
    <n v="0"/>
    <n v="0"/>
    <n v="0.1"/>
    <s v=""/>
    <s v="2022-09/04224"/>
    <s v=""/>
    <s v="02216364"/>
    <s v=""/>
    <s v=""/>
    <n v="720"/>
    <n v="50"/>
    <b v="0"/>
    <s v=""/>
    <s v="CK"/>
    <s v=""/>
    <s v="0541"/>
    <s v=""/>
    <b v="0"/>
    <s v="CT10107"/>
    <s v=""/>
    <b v="0"/>
    <s v=""/>
    <s v=""/>
    <s v=""/>
    <n v="0"/>
    <s v=""/>
    <s v="4 CAN/THUØNG"/>
    <s v=""/>
    <s v="00241970"/>
    <s v="DG026210"/>
    <s v="CHI NHAÙNH BÌNH DÖÔNG GIAO HAØNG SAØI GOØN CO-OP SOÙNG THAÀN"/>
    <s v=""/>
    <s v="TRUNG TAÂM PHAÂN PHOÁI SAIGON CO.OP"/>
    <s v=""/>
    <s v="75256916(805)11086"/>
    <s v=""/>
    <s v="  -   -"/>
    <s v="  -   -"/>
    <s v="261"/>
    <s v="NG LIX MATIC HÖÔNG BAMBOO 3,6KG/C04"/>
    <s v="N26"/>
    <s v="NG LIX MATIC HÖÔNG BAMBOO"/>
    <s v="SC"/>
    <s v="SIEÂU THÒ COOP"/>
    <s v="02"/>
    <s v="KEÂNH SIEÂU THÒ"/>
    <s v="30-Sep-22"/>
    <s v=""/>
    <s v=""/>
    <s v="  -   -"/>
  </r>
  <r>
    <s v="CO125"/>
    <n v="3"/>
    <s v="00018838"/>
    <s v="HT016"/>
    <s v="F"/>
    <s v="1"/>
    <s v=""/>
    <x v="1"/>
    <s v="NÖÔÙC LAØM MEÀM VAÛI DD HÖÔNG HOA COOP SELECT 1,8L/C08"/>
    <n v="456"/>
    <s v="00674436"/>
    <s v="51C 36017"/>
    <n v="53647"/>
    <n v="24463032"/>
    <n v="0"/>
    <n v="0"/>
    <n v="0.1"/>
    <s v=""/>
    <s v="2022-09/04196"/>
    <s v=""/>
    <s v="02216365"/>
    <s v=""/>
    <s v=""/>
    <n v="812.59"/>
    <n v="57"/>
    <b v="0"/>
    <s v=""/>
    <s v="CK"/>
    <s v=""/>
    <s v="0541"/>
    <s v=""/>
    <b v="0"/>
    <s v="CT10107"/>
    <s v=""/>
    <b v="0"/>
    <s v=""/>
    <s v=""/>
    <s v=""/>
    <n v="0"/>
    <s v=""/>
    <s v="8 CAN/THUØNG"/>
    <s v=""/>
    <s v="00241936"/>
    <s v="DG026210"/>
    <s v="CHI NHAÙNH BÌNH DÖÔNG GIAO HAØNG SAØI GOØN CO-OP SOÙNG THAÀN"/>
    <s v=""/>
    <s v="TRUNG TAÂM PHAÂN PHOÁI SAIGON CO.OP"/>
    <s v=""/>
    <s v="75249755(805)15506"/>
    <s v=""/>
    <s v="  -   -"/>
    <s v="  -   -"/>
    <s v="XV1"/>
    <s v="NLMV CO-OP 1,8L/C08"/>
    <s v="XVC"/>
    <s v="NLMV CO-OP"/>
    <s v="SC"/>
    <s v="SIEÂU THÒ COOP"/>
    <s v="02"/>
    <s v="KEÂNH SIEÂU THÒ"/>
    <s v="30-Sep-22"/>
    <s v=""/>
    <s v=""/>
    <s v="  -   -"/>
  </r>
  <r>
    <s v="CO125"/>
    <n v="3"/>
    <s v="00018847"/>
    <s v="HT016"/>
    <s v="F"/>
    <s v="("/>
    <s v=""/>
    <x v="1"/>
    <s v="NÖÔÙC LAØM MEÀM VAÛI DD HÖÔNG HOA COOP SELECT 1,8L/C08"/>
    <n v="24"/>
    <s v="00674437"/>
    <s v="51C 36017"/>
    <n v="38878"/>
    <n v="933072"/>
    <n v="0"/>
    <n v="0"/>
    <n v="0"/>
    <s v="sdf"/>
    <s v="2022-09/04196"/>
    <s v="NVC02"/>
    <s v="02216366"/>
    <s v="02216365"/>
    <s v="Haøng khuyeán maïi"/>
    <n v="42.77"/>
    <n v="3"/>
    <b v="0"/>
    <s v=""/>
    <s v="CK"/>
    <s v=""/>
    <s v="0541"/>
    <s v=""/>
    <b v="0"/>
    <s v="CT10107"/>
    <s v=""/>
    <b v="0"/>
    <s v=""/>
    <s v="(3 THUØNG)"/>
    <s v=""/>
    <n v="0"/>
    <s v=""/>
    <s v="8 CAN/THUØNG"/>
    <s v=""/>
    <s v="00241936"/>
    <s v="DG026210"/>
    <s v="CHI NHAÙNH BÌNH DÖÔNG GIAO HAØNG SAØI GOØN CO-OP SOÙNG THAÀN"/>
    <s v=""/>
    <s v="TRUNG TAÂM PHAÂN PHOÁI SAIGON CO.OP"/>
    <s v=""/>
    <s v="75249755(805)15506"/>
    <s v=""/>
    <s v="  -   -"/>
    <s v="  -   -"/>
    <s v="XV1"/>
    <s v="NLMV CO-OP 1,8L/C08"/>
    <s v="XVC"/>
    <s v="NLMV CO-OP"/>
    <s v="SC"/>
    <s v="SIEÂU THÒ COOP"/>
    <s v="02"/>
    <s v="KEÂNH SIEÂU THÒ"/>
    <s v="30-Sep-22"/>
    <s v=""/>
    <s v=""/>
    <s v="  -   -"/>
  </r>
  <r>
    <s v="CO125"/>
    <n v="4"/>
    <s v="00018840"/>
    <s v="HT016"/>
    <s v="F"/>
    <s v="1"/>
    <s v=""/>
    <x v="6"/>
    <s v="NÖÔÙC GIAËT HÖÔNG THAÛO MOÄC DD COOP SELECT 2L/C08"/>
    <n v="1320"/>
    <s v="00674440"/>
    <s v="51C 36017"/>
    <n v="48136"/>
    <n v="63539520"/>
    <n v="0"/>
    <n v="0"/>
    <n v="0.1"/>
    <s v=""/>
    <s v="2022-09/00057"/>
    <s v=""/>
    <s v="02216369"/>
    <s v=""/>
    <s v=""/>
    <n v="2745.6"/>
    <n v="165"/>
    <b v="0"/>
    <s v=""/>
    <s v="CK"/>
    <s v=""/>
    <s v="0541"/>
    <s v=""/>
    <b v="0"/>
    <s v="CT10099"/>
    <s v=""/>
    <b v="0"/>
    <s v=""/>
    <s v="(165 THUØNG)"/>
    <s v=""/>
    <n v="0"/>
    <s v=""/>
    <s v="8 CAN/THUØNG"/>
    <s v=""/>
    <s v="00241418"/>
    <s v="DG026210"/>
    <s v="CHI NHAÙNH BÌNH DÖÔNG GIAO HAØNG SAØI GOØN CO-OP SOÙNG THAÀN"/>
    <s v=""/>
    <s v="TRUNG TAÂM PHAÂN PHOÁI SAIGON CO.OP"/>
    <s v=""/>
    <s v="75079627(805)15506"/>
    <s v=""/>
    <s v="  -   -"/>
    <s v="  -   -"/>
    <s v="C02"/>
    <s v="NG CO-OP 2L/C08"/>
    <s v="C01"/>
    <s v="NUOC GIAT CO-OP"/>
    <s v="SC"/>
    <s v="SIEÂU THÒ COOP"/>
    <s v="02"/>
    <s v="KEÂNH SIEÂU THÒ"/>
    <s v="30-Sep-22"/>
    <s v=""/>
    <s v=""/>
    <s v="  -   -"/>
  </r>
  <r>
    <s v="CO125"/>
    <n v="4"/>
    <s v="00018854"/>
    <s v="HT016"/>
    <s v="F"/>
    <s v="("/>
    <s v=""/>
    <x v="6"/>
    <s v="NÖÔÙC GIAËT HÖÔNG THAÛO MOÄC DD COOP SELECT 2L/C08"/>
    <n v="88"/>
    <s v="00674441"/>
    <s v="51C 36017"/>
    <n v="38594"/>
    <n v="3396272"/>
    <n v="0"/>
    <n v="0"/>
    <n v="0"/>
    <s v=""/>
    <s v="2022-09/00057"/>
    <s v="NGC19"/>
    <s v="02216370"/>
    <s v="02216369"/>
    <s v="Haøng khuyeán maïi"/>
    <n v="183.04"/>
    <n v="11"/>
    <b v="0"/>
    <s v=""/>
    <s v="CK"/>
    <s v=""/>
    <s v="0541"/>
    <s v=""/>
    <b v="0"/>
    <s v="CT10099"/>
    <s v=""/>
    <b v="0"/>
    <s v=""/>
    <s v=""/>
    <s v=""/>
    <n v="0"/>
    <s v=""/>
    <s v="8 CAN/THUØNG"/>
    <s v=""/>
    <s v="00241418"/>
    <s v="DG026210"/>
    <s v="CHI NHAÙNH BÌNH DÖÔNG GIAO HAØNG SAØI GOØN CO-OP SOÙNG THAÀN"/>
    <s v=""/>
    <s v="TRUNG TAÂM PHAÂN PHOÁI SAIGON CO.OP"/>
    <s v=""/>
    <s v="75079627(805)15506"/>
    <s v=""/>
    <s v="  -   -"/>
    <s v="  -   -"/>
    <s v="C02"/>
    <s v="NG CO-OP 2L/C08"/>
    <s v="C01"/>
    <s v="NUOC GIAT CO-OP"/>
    <s v="SC"/>
    <s v="SIEÂU THÒ COOP"/>
    <s v="02"/>
    <s v="KEÂNH SIEÂU THÒ"/>
    <s v="30-Sep-22"/>
    <s v=""/>
    <s v=""/>
    <s v="  -   -"/>
  </r>
  <r>
    <s v="CO125"/>
    <n v="4"/>
    <s v="00018855"/>
    <s v="HT016"/>
    <s v="F"/>
    <s v="1"/>
    <s v=""/>
    <x v="7"/>
    <s v="NÖÔÙC RÖÛA CHEÙN TRAØ XANH COOP SELECT 800ML/12TUI"/>
    <n v="1440"/>
    <s v="00674442"/>
    <s v="51C 36017"/>
    <n v="11904"/>
    <n v="17141760"/>
    <n v="0"/>
    <n v="0"/>
    <n v="0.1"/>
    <s v="df"/>
    <s v="2022-09/04199"/>
    <s v=""/>
    <s v="02216371"/>
    <s v=""/>
    <s v=""/>
    <n v="1175.04"/>
    <n v="120"/>
    <b v="0"/>
    <s v=""/>
    <s v="CK"/>
    <s v=""/>
    <s v="0541"/>
    <s v=""/>
    <b v="0"/>
    <s v="CT10107"/>
    <s v=""/>
    <b v="0"/>
    <s v=""/>
    <s v=""/>
    <s v=""/>
    <n v="0"/>
    <s v=""/>
    <s v="12 TUÙI/THUØNG"/>
    <s v=""/>
    <s v="00241939"/>
    <s v="DG026210"/>
    <s v="CHI NHAÙNH BÌNH DÖÔNG GIAO HAØNG SAØI GOØN CO-OP SOÙNG THAÀN"/>
    <s v=""/>
    <s v="TRUNG TAÂM PHAÂN PHOÁI SAIGON CO.OP"/>
    <s v=""/>
    <s v="75249747(805)15506"/>
    <s v=""/>
    <s v="  -   -"/>
    <s v="  -   -"/>
    <s v="CO1"/>
    <s v="NRC CO-OP 800ML/12"/>
    <s v="NC1"/>
    <s v="NRC CO-OP"/>
    <s v="SC"/>
    <s v="SIEÂU THÒ COOP"/>
    <s v="02"/>
    <s v="KEÂNH SIEÂU THÒ"/>
    <s v="30-Sep-22"/>
    <s v=""/>
    <s v=""/>
    <s v="  -   -"/>
  </r>
  <r>
    <s v="CO125"/>
    <n v="4"/>
    <s v="00018855"/>
    <s v="HT016"/>
    <s v="F"/>
    <s v="1"/>
    <s v=""/>
    <x v="8"/>
    <s v="NÖÔÙC RÖÛA CHEÙN HÖÔNG TAÙO COOP SELECT 800ML/12TUI"/>
    <n v="480"/>
    <s v="00674442"/>
    <s v="51C 36017"/>
    <n v="11337"/>
    <n v="5441760"/>
    <n v="0"/>
    <n v="0"/>
    <n v="0.1"/>
    <s v="df"/>
    <s v="2022-09/04199"/>
    <s v=""/>
    <s v="02216372"/>
    <s v=""/>
    <s v=""/>
    <n v="391.68"/>
    <n v="40"/>
    <b v="0"/>
    <s v=""/>
    <s v="CK"/>
    <s v=""/>
    <s v="0541"/>
    <s v=""/>
    <b v="0"/>
    <s v="CT10107"/>
    <s v=""/>
    <b v="0"/>
    <s v=""/>
    <s v=""/>
    <s v=""/>
    <n v="0"/>
    <s v=""/>
    <s v="12 TUÙI/THUØNG"/>
    <s v=""/>
    <s v="00241939"/>
    <s v="DG026210"/>
    <s v="CHI NHAÙNH BÌNH DÖÔNG GIAO HAØNG SAØI GOØN CO-OP SOÙNG THAÀN"/>
    <s v=""/>
    <s v="TRUNG TAÂM PHAÂN PHOÁI SAIGON CO.OP"/>
    <s v=""/>
    <s v="75249747(805)15506"/>
    <s v=""/>
    <s v="  -   -"/>
    <s v="  -   -"/>
    <s v="CO1"/>
    <s v="NRC CO-OP 800ML/12"/>
    <s v="NC1"/>
    <s v="NRC CO-OP"/>
    <s v="SC"/>
    <s v="SIEÂU THÒ COOP"/>
    <s v="02"/>
    <s v="KEÂNH SIEÂU THÒ"/>
    <s v="30-Sep-22"/>
    <s v=""/>
    <s v=""/>
    <s v="  -   -"/>
  </r>
  <r>
    <s v="CO125"/>
    <n v="4"/>
    <s v="00018841"/>
    <s v="HT016"/>
    <s v="F"/>
    <s v="1"/>
    <s v=""/>
    <x v="6"/>
    <s v="NÖÔÙC GIAËT HÖÔNG THAÛO MOÄC DD COOP SELECT 2L/C08"/>
    <n v="480"/>
    <s v="00674449"/>
    <s v="51C 36017"/>
    <n v="48136"/>
    <n v="23105280"/>
    <n v="0"/>
    <n v="0"/>
    <n v="0.1"/>
    <s v="11"/>
    <s v="2022-09/04196"/>
    <s v=""/>
    <s v="02216398"/>
    <s v=""/>
    <s v=""/>
    <n v="998.4"/>
    <n v="60"/>
    <b v="0"/>
    <s v=""/>
    <s v="CK"/>
    <s v=""/>
    <s v="0541"/>
    <s v=""/>
    <b v="0"/>
    <s v="CT10107"/>
    <s v=""/>
    <b v="0"/>
    <s v=""/>
    <s v=""/>
    <s v=""/>
    <n v="0"/>
    <s v=""/>
    <s v="8 CAN/THUØNG"/>
    <s v=""/>
    <s v="00241936"/>
    <s v="DG026210"/>
    <s v="CHI NHAÙNH BÌNH DÖÔNG GIAO HAØNG SAØI GOØN CO-OP SOÙNG THAÀN"/>
    <s v=""/>
    <s v="TRUNG TAÂM PHAÂN PHOÁI SAIGON CO.OP"/>
    <s v=""/>
    <s v="75249755(805)15506"/>
    <s v=""/>
    <s v="  -   -"/>
    <s v="  -   -"/>
    <s v="C02"/>
    <s v="NG CO-OP 2L/C08"/>
    <s v="C01"/>
    <s v="NUOC GIAT CO-OP"/>
    <s v="SC"/>
    <s v="SIEÂU THÒ COOP"/>
    <s v="02"/>
    <s v="KEÂNH SIEÂU THÒ"/>
    <s v="30-Sep-22"/>
    <s v=""/>
    <s v=""/>
    <s v="  -   -"/>
  </r>
  <r>
    <s v="CO125"/>
    <n v="4"/>
    <s v="00018851"/>
    <s v="HT016"/>
    <s v="F"/>
    <s v="("/>
    <s v=""/>
    <x v="6"/>
    <s v="NÖÔÙC GIAËT HÖÔNG THAÛO MOÄC DD COOP SELECT 2L/C08"/>
    <n v="32"/>
    <s v="00674450"/>
    <s v="51C 36017"/>
    <n v="38594"/>
    <n v="1235008"/>
    <n v="0"/>
    <n v="0"/>
    <n v="0"/>
    <s v=""/>
    <s v="2022-09/04196"/>
    <s v="NGC19"/>
    <s v="02216399"/>
    <s v="02216398"/>
    <s v="Haøng khuyeán maïi"/>
    <n v="66.56"/>
    <n v="4"/>
    <b v="0"/>
    <s v=""/>
    <s v="CK"/>
    <s v=""/>
    <s v="0541"/>
    <s v=""/>
    <b v="0"/>
    <s v="CT10107"/>
    <s v=""/>
    <b v="0"/>
    <s v=""/>
    <s v=""/>
    <s v=""/>
    <n v="0"/>
    <s v=""/>
    <s v="8 CAN/THUØNG"/>
    <s v=""/>
    <s v="00241936"/>
    <s v="DG026210"/>
    <s v="CHI NHAÙNH BÌNH DÖÔNG GIAO HAØNG SAØI GOØN CO-OP SOÙNG THAÀN"/>
    <s v=""/>
    <s v="TRUNG TAÂM PHAÂN PHOÁI SAIGON CO.OP"/>
    <s v=""/>
    <s v="75249755(805)15506"/>
    <s v=""/>
    <s v="  -   -"/>
    <s v="  -   -"/>
    <s v="C02"/>
    <s v="NG CO-OP 2L/C08"/>
    <s v="C01"/>
    <s v="NUOC GIAT CO-OP"/>
    <s v="SC"/>
    <s v="SIEÂU THÒ COOP"/>
    <s v="02"/>
    <s v="KEÂNH SIEÂU THÒ"/>
    <s v="30-Sep-22"/>
    <s v=""/>
    <s v=""/>
    <s v="  -   -"/>
  </r>
  <r>
    <s v="CO125"/>
    <n v="5"/>
    <s v="00018857"/>
    <s v="HT016"/>
    <s v="F"/>
    <s v="E"/>
    <s v=""/>
    <x v="9"/>
    <s v="BOÄT GIAËT LIXE CHANH 5,5KG/03-NÖÔÙC LAU ÑA NAÊNG ON1 500ML"/>
    <n v="630"/>
    <s v="00674451"/>
    <s v="51C 36017"/>
    <n v="108218"/>
    <n v="68177340"/>
    <n v="0"/>
    <n v="0"/>
    <n v="0.1"/>
    <s v=""/>
    <s v="2022-09/03879"/>
    <s v=""/>
    <s v="02216400"/>
    <s v=""/>
    <s v=""/>
    <n v="3465"/>
    <n v="210"/>
    <b v="0"/>
    <s v=""/>
    <s v="CK"/>
    <s v=""/>
    <s v="0541"/>
    <s v=""/>
    <b v="0"/>
    <s v="CT10099"/>
    <s v=""/>
    <b v="0"/>
    <s v=""/>
    <s v=""/>
    <s v=""/>
    <n v="0"/>
    <s v=""/>
    <s v="3 GOÙI/THUNG"/>
    <s v=""/>
    <s v="00241545"/>
    <s v="DG026210"/>
    <s v="CHI NHAÙNH BÌNH DÖÔNG GIAO HAØNG SAØI GOØN CO-OP SOÙNG THAÀN"/>
    <s v=""/>
    <s v="TRUNG TAÂM PHAÂN PHOÁI SAIGON CO.OP"/>
    <s v=""/>
    <s v="75107988(805)11086"/>
    <s v=""/>
    <s v="  -   -"/>
    <s v="  -   -"/>
    <s v="C57"/>
    <s v="BG LIXE CHANH 5,5KG/03"/>
    <s v="LEC"/>
    <s v="BG LIXE CHANH"/>
    <s v="SC"/>
    <s v="SIEÂU THÒ COOP"/>
    <s v="02"/>
    <s v="KEÂNH SIEÂU THÒ"/>
    <s v="30-Sep-22"/>
    <s v=""/>
    <s v=""/>
    <s v="  -   -"/>
  </r>
  <r>
    <s v="CO125"/>
    <n v="5"/>
    <s v="00018860"/>
    <s v="HT016"/>
    <s v="F"/>
    <s v="5"/>
    <s v=""/>
    <x v="10"/>
    <s v="NÖÔÙC LAU ÑA NAÊNG ON1 HÖÔNG BAMBOO CHARCOAL 500ML/CH20-KM"/>
    <n v="630"/>
    <s v="00674452"/>
    <s v="51C 36017"/>
    <n v="15114"/>
    <n v="9521820"/>
    <n v="0"/>
    <n v="0"/>
    <n v="0"/>
    <s v=""/>
    <s v="2022-09/03879"/>
    <s v="EC573"/>
    <s v="02216401"/>
    <s v="02216400"/>
    <s v="Haøng khuyeán maïi"/>
    <n v="311.85000000000002"/>
    <n v="31.5"/>
    <b v="0"/>
    <s v=""/>
    <s v="CK"/>
    <s v=""/>
    <s v="0541"/>
    <s v=""/>
    <b v="0"/>
    <s v="CT10099"/>
    <s v=""/>
    <b v="0"/>
    <s v=""/>
    <s v=""/>
    <s v=""/>
    <n v="0"/>
    <s v=""/>
    <s v="20 CHAI/THUØNG"/>
    <s v=""/>
    <s v="00241545"/>
    <s v="DG026210"/>
    <s v="CHI NHAÙNH BÌNH DÖÔNG GIAO HAØNG SAØI GOØN CO-OP SOÙNG THAÀN"/>
    <s v=""/>
    <s v="TRUNG TAÂM PHAÂN PHOÁI SAIGON CO.OP"/>
    <s v=""/>
    <s v="75107988(805)11086"/>
    <s v=""/>
    <s v="  -   -"/>
    <s v="  -   -"/>
    <s v="NLD"/>
    <s v="NL ÑA NAÊNG ON1 HÖÔNG BAMBOO 500ML/CH20"/>
    <s v="DN1"/>
    <s v="NL ÑA NAÊNG ON1 HÖÔNG BAMBOO"/>
    <s v="SC"/>
    <s v="SIEÂU THÒ COOP"/>
    <s v="02"/>
    <s v="KEÂNH SIEÂU THÒ"/>
    <s v="30-Sep-22"/>
    <s v=""/>
    <s v=""/>
    <s v="  -   -"/>
  </r>
  <r>
    <s v="CO125"/>
    <n v="5"/>
    <s v="00018835"/>
    <s v="HT016"/>
    <s v="F"/>
    <s v="1"/>
    <s v=""/>
    <x v="11"/>
    <s v="NÖÔÙC GIAËT HÖÔNG THAÛO MOÄC DD COOP SELECT 2,5L/04TUI"/>
    <n v="300"/>
    <s v="00674453"/>
    <s v="51C 36017"/>
    <n v="56101"/>
    <n v="16830300"/>
    <n v="0"/>
    <n v="0"/>
    <n v="0.1"/>
    <s v="1"/>
    <s v="2022-09/04196"/>
    <s v=""/>
    <s v="02216402"/>
    <s v=""/>
    <s v=""/>
    <n v="780"/>
    <n v="75"/>
    <b v="0"/>
    <s v=""/>
    <s v="CK"/>
    <s v=""/>
    <s v="0541"/>
    <s v=""/>
    <b v="0"/>
    <s v="CT10107"/>
    <s v=""/>
    <b v="0"/>
    <s v=""/>
    <s v=""/>
    <s v=""/>
    <n v="0"/>
    <s v=""/>
    <s v="4 TUÙI/THUØNG"/>
    <s v=""/>
    <s v="00241936"/>
    <s v="DG026210"/>
    <s v="CHI NHAÙNH BÌNH DÖÔNG GIAO HAØNG SAØI GOØN CO-OP SOÙNG THAÀN"/>
    <s v=""/>
    <s v="TRUNG TAÂM PHAÂN PHOÁI SAIGON CO.OP"/>
    <s v=""/>
    <s v="75249755(805)15506"/>
    <s v=""/>
    <s v="  -   -"/>
    <s v="  -   -"/>
    <s v="C25"/>
    <s v="NG CO-OP 2,5 L/04"/>
    <s v="C01"/>
    <s v="NUOC GIAT CO-OP"/>
    <s v="SC"/>
    <s v="SIEÂU THÒ COOP"/>
    <s v="02"/>
    <s v="KEÂNH SIEÂU THÒ"/>
    <s v="30-Sep-22"/>
    <s v=""/>
    <s v=""/>
    <s v="  -   -"/>
  </r>
  <r>
    <s v="CO125"/>
    <n v="5"/>
    <s v="00018852"/>
    <s v="HT016"/>
    <s v="F"/>
    <s v="("/>
    <s v=""/>
    <x v="11"/>
    <s v="NÖÔÙC GIAËT HÖÔNG THAÛO MOÄC DD COOP SELECT 2,5L/04TUI"/>
    <n v="20"/>
    <s v="00674454"/>
    <s v="51C 36017"/>
    <n v="43483"/>
    <n v="869660"/>
    <n v="0"/>
    <n v="0"/>
    <n v="0"/>
    <s v="111"/>
    <s v="2022-09/04196"/>
    <s v="NGC20"/>
    <s v="02216403"/>
    <s v="02216402"/>
    <s v="Haøng khuyeán maïi"/>
    <n v="52"/>
    <n v="5"/>
    <b v="0"/>
    <s v=""/>
    <s v="CK"/>
    <s v=""/>
    <s v="0541"/>
    <s v=""/>
    <b v="0"/>
    <s v="CT10107"/>
    <s v=""/>
    <b v="0"/>
    <s v=""/>
    <s v=""/>
    <s v=""/>
    <n v="0"/>
    <s v=""/>
    <s v="4 TUÙI/THUØNG"/>
    <s v=""/>
    <s v="00241936"/>
    <s v="DG026210"/>
    <s v="CHI NHAÙNH BÌNH DÖÔNG GIAO HAØNG SAØI GOØN CO-OP SOÙNG THAÀN"/>
    <s v=""/>
    <s v="TRUNG TAÂM PHAÂN PHOÁI SAIGON CO.OP"/>
    <s v=""/>
    <s v="75249755(805)15506"/>
    <s v=""/>
    <s v="  -   -"/>
    <s v="  -   -"/>
    <s v="C25"/>
    <s v="NG CO-OP 2,5 L/04"/>
    <s v="C01"/>
    <s v="NUOC GIAT CO-OP"/>
    <s v="SC"/>
    <s v="SIEÂU THÒ COOP"/>
    <s v="02"/>
    <s v="KEÂNH SIEÂU THÒ"/>
    <s v="30-Sep-22"/>
    <s v=""/>
    <s v=""/>
    <s v="  -   -"/>
  </r>
  <r>
    <s v="CO125"/>
    <n v="5"/>
    <s v="00018833"/>
    <s v="HT016"/>
    <s v="F"/>
    <s v="E"/>
    <s v=""/>
    <x v="12"/>
    <s v="BOÄT GIAËT LIXE HÖÔNG NÖÔÙC HOA 5,5KG/03"/>
    <n v="600"/>
    <s v="00674455"/>
    <s v="51C 36017"/>
    <n v="105700"/>
    <n v="63420000"/>
    <n v="0"/>
    <n v="0"/>
    <n v="0.1"/>
    <s v=""/>
    <s v="2022-09/04110"/>
    <s v=""/>
    <s v="02216404"/>
    <s v=""/>
    <s v=""/>
    <n v="3300"/>
    <n v="200"/>
    <b v="0"/>
    <s v=""/>
    <s v="CK"/>
    <s v=""/>
    <s v="0541"/>
    <s v=""/>
    <b v="0"/>
    <s v="CT10100"/>
    <s v=""/>
    <b v="0"/>
    <s v=""/>
    <s v=""/>
    <s v=""/>
    <n v="0"/>
    <s v=""/>
    <s v="3 GOÙI/THUØNG"/>
    <s v=""/>
    <s v="00241821"/>
    <s v="DG026210"/>
    <s v="CHI NHAÙNH BÌNH DÖÔNG GIAO HAØNG SAØI GOØN CO-OP SOÙNG THAÀN"/>
    <s v=""/>
    <s v="TRUNG TAÂM PHAÂN PHOÁI SAIGON CO.OP"/>
    <s v=""/>
    <s v="*75194108(8051)11086"/>
    <s v=""/>
    <s v="  -   -"/>
    <s v="  -   -"/>
    <s v="EH6"/>
    <s v="BG LIXE HÖÔNG NÖÔÙC HOA 5,5KG/03"/>
    <s v="EH1"/>
    <s v="BG LIXE HÖÔNG NÖÔÙC HOA"/>
    <s v="SC"/>
    <s v="SIEÂU THÒ COOP"/>
    <s v="02"/>
    <s v="KEÂNH SIEÂU THÒ"/>
    <s v="30-Sep-22"/>
    <s v=""/>
    <s v=""/>
    <s v="  -   -"/>
  </r>
  <r>
    <s v="CO125"/>
    <n v="6"/>
    <s v="00018853"/>
    <s v="HT016"/>
    <s v="F"/>
    <s v="1"/>
    <s v=""/>
    <x v="13"/>
    <s v="NÖÔÙC LAU SAØN BAÏC HAØ COOP SELECT 4L/C04"/>
    <n v="640"/>
    <s v="00674456"/>
    <s v="51C 36017"/>
    <n v="56502"/>
    <n v="36161280"/>
    <n v="0"/>
    <n v="0"/>
    <n v="0.1"/>
    <s v=""/>
    <s v="2022-09/04196"/>
    <s v=""/>
    <s v="02216405"/>
    <s v=""/>
    <s v=""/>
    <n v="2534.4"/>
    <n v="160"/>
    <b v="0"/>
    <s v=""/>
    <s v="CK"/>
    <s v=""/>
    <s v="0541"/>
    <s v=""/>
    <b v="0"/>
    <s v="CT10107"/>
    <s v=""/>
    <b v="0"/>
    <s v=""/>
    <s v=""/>
    <s v=""/>
    <n v="0"/>
    <s v=""/>
    <s v="4 CAN/THUØNG"/>
    <s v=""/>
    <s v="00241936"/>
    <s v="DG026210"/>
    <s v="CHI NHAÙNH BÌNH DÖÔNG GIAO HAØNG SAØI GOØN CO-OP SOÙNG THAÀN"/>
    <s v=""/>
    <s v="TRUNG TAÂM PHAÂN PHOÁI SAIGON CO.OP"/>
    <s v=""/>
    <s v="75249755(805)15506"/>
    <s v=""/>
    <s v="  -   -"/>
    <s v="  -   -"/>
    <s v="CN1"/>
    <s v="NLS CO-OP 4L/C03"/>
    <s v="CN1"/>
    <s v="NLS CO-OP"/>
    <s v="SC"/>
    <s v="SIEÂU THÒ COOP"/>
    <s v="02"/>
    <s v="KEÂNH SIEÂU THÒ"/>
    <s v="30-Sep-22"/>
    <s v=""/>
    <s v=""/>
    <s v="  -   -"/>
  </r>
  <r>
    <s v="CO125"/>
    <n v="6"/>
    <s v="00018856"/>
    <s v="HT016"/>
    <s v="F"/>
    <s v="("/>
    <s v=""/>
    <x v="13"/>
    <s v="NÖÔÙC LAU SAØN BAÏC HAØ COOP SELECT 4L/C04"/>
    <n v="160"/>
    <s v="00674457"/>
    <s v="51C 36017"/>
    <n v="31963"/>
    <n v="5114080"/>
    <n v="0"/>
    <n v="0"/>
    <n v="0"/>
    <s v=""/>
    <s v="2022-09/04196"/>
    <s v="NC044"/>
    <s v="02216406"/>
    <s v="02216405"/>
    <s v="Haøng khuyeán maïi"/>
    <n v="633.6"/>
    <n v="40"/>
    <b v="0"/>
    <s v=""/>
    <s v="CK"/>
    <s v=""/>
    <s v="0541"/>
    <s v=""/>
    <b v="0"/>
    <s v="CT10107"/>
    <s v=""/>
    <b v="0"/>
    <s v=""/>
    <s v=""/>
    <s v=""/>
    <n v="0"/>
    <s v=""/>
    <s v="4 CAN/THUØNG"/>
    <s v=""/>
    <s v="00241936"/>
    <s v="DG026210"/>
    <s v="CHI NHAÙNH BÌNH DÖÔNG GIAO HAØNG SAØI GOØN CO-OP SOÙNG THAÀN"/>
    <s v=""/>
    <s v="TRUNG TAÂM PHAÂN PHOÁI SAIGON CO.OP"/>
    <s v=""/>
    <s v="75249755(805)15506"/>
    <s v=""/>
    <s v="  -   -"/>
    <s v="  -   -"/>
    <s v="CN1"/>
    <s v="NLS CO-OP 4L/C03"/>
    <s v="CN1"/>
    <s v="NLS CO-OP"/>
    <s v="SC"/>
    <s v="SIEÂU THÒ COOP"/>
    <s v="02"/>
    <s v="KEÂNH SIEÂU THÒ"/>
    <s v="30-Sep-22"/>
    <s v=""/>
    <s v=""/>
    <s v="  -   -"/>
  </r>
  <r>
    <s v="CO125"/>
    <n v="6"/>
    <s v="00018845"/>
    <s v="HT016"/>
    <s v="F"/>
    <s v="E"/>
    <s v=""/>
    <x v="14"/>
    <s v="GEL TAÅY BOÀN CAÀU &amp; NHAØ TAÉM ON1 900G/CH12"/>
    <n v="528"/>
    <s v="00674458"/>
    <s v="51C 36017"/>
    <n v="20865"/>
    <n v="11016720"/>
    <n v="0"/>
    <n v="0"/>
    <n v="0.1"/>
    <s v=""/>
    <s v="2022-09/04224"/>
    <s v=""/>
    <s v="02216407"/>
    <s v=""/>
    <s v=""/>
    <n v="475.2"/>
    <n v="44"/>
    <b v="0"/>
    <s v=""/>
    <s v="CK"/>
    <s v=""/>
    <s v="0541"/>
    <s v=""/>
    <b v="0"/>
    <s v="CT10107"/>
    <s v=""/>
    <b v="0"/>
    <s v=""/>
    <s v=""/>
    <s v=""/>
    <n v="0"/>
    <s v=""/>
    <s v="12 CHAI/THUØNG"/>
    <s v=""/>
    <s v="00241970"/>
    <s v="DG026210"/>
    <s v="CHI NHAÙNH BÌNH DÖÔNG GIAO HAØNG SAØI GOØN CO-OP SOÙNG THAÀN"/>
    <s v=""/>
    <s v="TRUNG TAÂM PHAÂN PHOÁI SAIGON CO.OP"/>
    <s v=""/>
    <s v="75256916(805)11086"/>
    <s v=""/>
    <s v="  -   -"/>
    <s v="  -   -"/>
    <s v="052"/>
    <s v="GEL TAÅY BOÀN CAÀU &amp; NHAØ TAÉM ON1 900G/CH12"/>
    <s v="N05"/>
    <s v="GEL TAÅY BOÀN CAÀU ON1"/>
    <s v="SC"/>
    <s v="SIEÂU THÒ COOP"/>
    <s v="02"/>
    <s v="KEÂNH SIEÂU THÒ"/>
    <s v="30-Sep-22"/>
    <s v=""/>
    <s v=""/>
    <s v="  -   -"/>
  </r>
  <r>
    <s v="CO125"/>
    <n v="6"/>
    <s v="00018845"/>
    <s v="HT016"/>
    <s v="F"/>
    <s v="E"/>
    <s v=""/>
    <x v="15"/>
    <s v="NÖÔÙC GIAËT LIX HÖÔNG NÖÔÙC HOA 3,6KG/C04"/>
    <n v="360"/>
    <s v="00674458"/>
    <s v="51C 36017"/>
    <n v="83719"/>
    <n v="30138840"/>
    <n v="0"/>
    <n v="0"/>
    <n v="0.1"/>
    <s v=""/>
    <s v="2022-09/04224"/>
    <s v=""/>
    <s v="02216408"/>
    <s v=""/>
    <s v=""/>
    <n v="1296"/>
    <n v="90"/>
    <b v="0"/>
    <s v=""/>
    <s v="CK"/>
    <s v=""/>
    <s v="0541"/>
    <s v=""/>
    <b v="0"/>
    <s v="CT10107"/>
    <s v=""/>
    <b v="0"/>
    <s v=""/>
    <s v=""/>
    <s v=""/>
    <n v="0"/>
    <s v=""/>
    <s v="4 CAN/THUØNG"/>
    <s v=""/>
    <s v="00241970"/>
    <s v="DG026210"/>
    <s v="CHI NHAÙNH BÌNH DÖÔNG GIAO HAØNG SAØI GOØN CO-OP SOÙNG THAÀN"/>
    <s v=""/>
    <s v="TRUNG TAÂM PHAÂN PHOÁI SAIGON CO.OP"/>
    <s v=""/>
    <s v="75256916(805)11086"/>
    <s v=""/>
    <s v="  -   -"/>
    <s v="  -   -"/>
    <s v="H36"/>
    <s v="NG LIX HÖÔNG NÖÔÙC HOA 3,6KG/C04"/>
    <s v="NNH"/>
    <s v="NG LIX HÖÔNG NÖÔÙC HOA"/>
    <s v="SC"/>
    <s v="SIEÂU THÒ COOP"/>
    <s v="02"/>
    <s v="KEÂNH SIEÂU THÒ"/>
    <s v="30-Sep-22"/>
    <s v=""/>
    <s v=""/>
    <s v="  -   -"/>
  </r>
  <r>
    <s v="CO125"/>
    <n v="6"/>
    <s v="00018845"/>
    <s v="HT016"/>
    <s v="F"/>
    <s v="E"/>
    <s v=""/>
    <x v="16"/>
    <s v="NÖÔÙC RÖÛA CHEÙN SIEÂU SAÏCH TRAØ 3,5KG/T04 (TUÙI)"/>
    <n v="600"/>
    <s v="00674458"/>
    <s v="51C 36017"/>
    <n v="60650"/>
    <n v="36390000"/>
    <n v="0"/>
    <n v="0"/>
    <n v="0.1"/>
    <s v=""/>
    <s v="2022-09/04224"/>
    <s v=""/>
    <s v="02216409"/>
    <s v=""/>
    <s v=""/>
    <n v="2100"/>
    <n v="150"/>
    <b v="0"/>
    <s v=""/>
    <s v="CK"/>
    <s v=""/>
    <s v="0541"/>
    <s v=""/>
    <b v="0"/>
    <s v="CT10107"/>
    <s v=""/>
    <b v="0"/>
    <s v=""/>
    <s v=""/>
    <s v=""/>
    <n v="0"/>
    <s v=""/>
    <s v="4 TUÙI/THUØNG"/>
    <s v=""/>
    <s v="00241970"/>
    <s v="DG026210"/>
    <s v="CHI NHAÙNH BÌNH DÖÔNG GIAO HAØNG SAØI GOØN CO-OP SOÙNG THAÀN"/>
    <s v=""/>
    <s v="TRUNG TAÂM PHAÂN PHOÁI SAIGON CO.OP"/>
    <s v=""/>
    <s v="75256916(805)11086"/>
    <s v=""/>
    <s v="  -   -"/>
    <s v="  -   -"/>
    <s v="811"/>
    <s v="NRC SIEÂU SAÏCH TRAØ 3,5KG/T04"/>
    <s v="NS2"/>
    <s v="NRC SIEÂU SAÏCH TRAØ"/>
    <s v="SC"/>
    <s v="SIEÂU THÒ COOP"/>
    <s v="02"/>
    <s v="KEÂNH SIEÂU THÒ"/>
    <s v="30-Sep-22"/>
    <s v=""/>
    <s v=""/>
    <s v="  -   -"/>
  </r>
  <r>
    <s v="CO125"/>
    <n v="7"/>
    <s v="00018859"/>
    <s v="HT016"/>
    <s v="F"/>
    <s v="1"/>
    <s v=""/>
    <x v="17"/>
    <s v="NÖÔÙC GIAËT HÖÔNG THAÛO MOÄC CÖÛA TRÖÔÙC COOP SELECT 2.5L/04TUI"/>
    <n v="108"/>
    <s v="00674459"/>
    <s v="51C 36017"/>
    <n v="65719"/>
    <n v="7097652"/>
    <n v="0"/>
    <n v="0"/>
    <n v="0.1"/>
    <s v=""/>
    <s v="2022-09/04196"/>
    <s v=""/>
    <s v="02216410"/>
    <s v=""/>
    <s v=""/>
    <n v="278.10000000000002"/>
    <n v="27"/>
    <b v="0"/>
    <s v=""/>
    <s v="CK"/>
    <s v=""/>
    <s v="0541"/>
    <s v=""/>
    <b v="0"/>
    <s v="CT10107"/>
    <s v=""/>
    <b v="0"/>
    <s v=""/>
    <s v=""/>
    <s v=""/>
    <n v="0"/>
    <s v=""/>
    <s v="4 TUÙI/THUØNG"/>
    <s v=""/>
    <s v="00241936"/>
    <s v="DG026210"/>
    <s v="CHI NHAÙNH BÌNH DÖÔNG GIAO HAØNG SAØI GOØN CO-OP SOÙNG THAÀN"/>
    <s v=""/>
    <s v="TRUNG TAÂM PHAÂN PHOÁI SAIGON CO.OP"/>
    <s v=""/>
    <s v="75249755(805)15506"/>
    <s v=""/>
    <s v="  -   -"/>
    <s v="  -   -"/>
    <s v="C25"/>
    <s v="NG CO-OP 2,5 L/04"/>
    <s v="C01"/>
    <s v="NUOC GIAT CO-OP"/>
    <s v="SC"/>
    <s v="SIEÂU THÒ COOP"/>
    <s v="02"/>
    <s v="KEÂNH SIEÂU THÒ"/>
    <s v="30-Sep-22"/>
    <s v=""/>
    <s v=""/>
    <s v="  -   -"/>
  </r>
  <r>
    <s v="CO125"/>
    <n v="7"/>
    <s v="00018834"/>
    <s v="HT016"/>
    <s v="F"/>
    <s v="("/>
    <s v=""/>
    <x v="17"/>
    <s v="NÖÔÙC GIAËT HÖÔNG THAÛO MOÄC CÖÛA TRÖÔÙC COOP SELECT 2.5L/04TUI"/>
    <n v="12"/>
    <s v="00674460"/>
    <s v="51C 36017"/>
    <n v="46012"/>
    <n v="552144"/>
    <n v="0"/>
    <n v="0"/>
    <n v="0"/>
    <s v=""/>
    <s v="2022-09/04196"/>
    <s v="NGC17"/>
    <s v="02216411"/>
    <s v="02216410"/>
    <s v="Haøng khuyeán maïi"/>
    <n v="30.9"/>
    <n v="3"/>
    <b v="0"/>
    <s v=""/>
    <s v="CK"/>
    <s v=""/>
    <s v="0541"/>
    <s v=""/>
    <b v="0"/>
    <s v="CT10107"/>
    <s v=""/>
    <b v="0"/>
    <s v=""/>
    <s v=""/>
    <s v=""/>
    <n v="0"/>
    <s v=""/>
    <s v="4 TUÙI/THUØNG"/>
    <s v=""/>
    <s v="00241936"/>
    <s v="DG026210"/>
    <s v="CHI NHAÙNH BÌNH DÖÔNG GIAO HAØNG SAØI GOØN CO-OP SOÙNG THAÀN"/>
    <s v=""/>
    <s v="TRUNG TAÂM PHAÂN PHOÁI SAIGON CO.OP"/>
    <s v=""/>
    <s v="75249755(805)15506"/>
    <s v=""/>
    <s v="  -   -"/>
    <s v="  -   -"/>
    <s v="C25"/>
    <s v="NG CO-OP 2,5 L/04"/>
    <s v="C01"/>
    <s v="NUOC GIAT CO-OP"/>
    <s v="SC"/>
    <s v="SIEÂU THÒ COOP"/>
    <s v="02"/>
    <s v="KEÂNH SIEÂU THÒ"/>
    <s v="30-Sep-22"/>
    <s v=""/>
    <s v=""/>
    <s v="  -   -"/>
  </r>
  <r>
    <s v="CO125"/>
    <n v="7"/>
    <s v="00018842"/>
    <s v="HT016"/>
    <s v="F"/>
    <s v="1"/>
    <s v=""/>
    <x v="18"/>
    <s v="NÖÔÙC GIAËT HÖÔNG THAÛO MOÄC CÖÛA TRÖÔÙC COOP SELECT 4L/C04"/>
    <n v="120"/>
    <s v="00674461"/>
    <s v="51C 36017"/>
    <n v="110217"/>
    <n v="13226040"/>
    <n v="0"/>
    <n v="0"/>
    <n v="0.1"/>
    <s v=""/>
    <s v="2022-09/04198"/>
    <s v=""/>
    <s v="02216412"/>
    <s v=""/>
    <s v=""/>
    <n v="494.4"/>
    <n v="30"/>
    <b v="0"/>
    <s v=""/>
    <s v="CK"/>
    <s v=""/>
    <s v="0541"/>
    <s v=""/>
    <b v="0"/>
    <s v="CT10100"/>
    <s v=""/>
    <b v="0"/>
    <s v=""/>
    <s v=""/>
    <s v=""/>
    <n v="0"/>
    <s v=""/>
    <s v="4 CAN/THUØNG"/>
    <s v=""/>
    <s v="00241938"/>
    <s v="DG026210"/>
    <s v="CHI NHAÙNH BÌNH DÖÔNG GIAO HAØNG SAØI GOØN CO-OP SOÙNG THAÀN"/>
    <s v=""/>
    <s v="TRUNG TAÂM PHAÂN PHOÁI SAIGON CO.OP"/>
    <s v=""/>
    <s v="75249755(805)15506"/>
    <s v=""/>
    <s v="  -   -"/>
    <s v="  -   -"/>
    <s v="C20"/>
    <s v="NG CO-OP 4L/C04"/>
    <s v="C01"/>
    <s v="NUOC GIAT CO-OP"/>
    <s v="SC"/>
    <s v="SIEÂU THÒ COOP"/>
    <s v="02"/>
    <s v="KEÂNH SIEÂU THÒ"/>
    <s v="30-Sep-22"/>
    <s v=""/>
    <s v=""/>
    <s v="  -   -"/>
  </r>
  <r>
    <s v="CO125"/>
    <n v="7"/>
    <s v="00018846"/>
    <s v="HT016"/>
    <s v="F"/>
    <s v="("/>
    <s v=""/>
    <x v="18"/>
    <s v="NÖÔÙC GIAËT HÖÔNG THAÛO MOÄC CÖÛA TRÖÔÙC COOP SELECT 4L/C04"/>
    <n v="8"/>
    <s v="00674462"/>
    <s v="51C 36017"/>
    <n v="76224"/>
    <n v="609792"/>
    <n v="0"/>
    <n v="0"/>
    <n v="0"/>
    <s v="111"/>
    <s v="2022-09/04198"/>
    <s v="NGC18"/>
    <s v="02216413"/>
    <s v="02216412"/>
    <s v="Haøng khuyeán maïi"/>
    <n v="32.96"/>
    <n v="2"/>
    <b v="0"/>
    <s v=""/>
    <s v="CK"/>
    <s v=""/>
    <s v="0541"/>
    <s v=""/>
    <b v="0"/>
    <s v="CT10100"/>
    <s v=""/>
    <b v="0"/>
    <s v=""/>
    <s v=""/>
    <s v=""/>
    <n v="0"/>
    <s v=""/>
    <s v="4 CAN/THUØNG"/>
    <s v=""/>
    <s v="00241938"/>
    <s v="DG026210"/>
    <s v="CHI NHAÙNH BÌNH DÖÔNG GIAO HAØNG SAØI GOØN CO-OP SOÙNG THAÀN"/>
    <s v=""/>
    <s v="TRUNG TAÂM PHAÂN PHOÁI SAIGON CO.OP"/>
    <s v=""/>
    <s v="75249755(805)15506"/>
    <s v=""/>
    <s v="  -   -"/>
    <s v="  -   -"/>
    <s v="C20"/>
    <s v="NG CO-OP 4L/C04"/>
    <s v="C01"/>
    <s v="NUOC GIAT CO-OP"/>
    <s v="SC"/>
    <s v="SIEÂU THÒ COOP"/>
    <s v="02"/>
    <s v="KEÂNH SIEÂU THÒ"/>
    <s v="30-Sep-22"/>
    <s v=""/>
    <s v=""/>
    <s v="  -   -"/>
  </r>
  <r>
    <s v="CO125"/>
    <n v="7"/>
    <s v="00018844"/>
    <s v="HT016"/>
    <s v="F"/>
    <s v="1"/>
    <s v=""/>
    <x v="19"/>
    <s v="NÖÔÙC TAÅY QUAÀN AÙO COOP SELECT 1KG/C12"/>
    <n v="2400"/>
    <s v="00674463"/>
    <s v="51C 36017"/>
    <n v="11659"/>
    <n v="27981600"/>
    <n v="0"/>
    <n v="0"/>
    <n v="0.1"/>
    <s v=""/>
    <s v="2022-09/04199"/>
    <s v=""/>
    <s v="02216414"/>
    <s v=""/>
    <s v=""/>
    <n v="2400"/>
    <n v="200"/>
    <b v="0"/>
    <s v=""/>
    <s v="CK"/>
    <s v=""/>
    <s v="0541"/>
    <s v=""/>
    <b v="0"/>
    <s v="CT10107"/>
    <s v=""/>
    <b v="0"/>
    <s v=""/>
    <s v=""/>
    <s v=""/>
    <n v="0"/>
    <s v=""/>
    <s v="12 CHAI/THUØNG"/>
    <s v=""/>
    <s v="00241939"/>
    <s v="DG026210"/>
    <s v="CHI NHAÙNH BÌNH DÖÔNG GIAO HAØNG SAØI GOØN CO-OP SOÙNG THAÀN"/>
    <s v=""/>
    <s v="TRUNG TAÂM PHAÂN PHOÁI SAIGON CO.OP"/>
    <s v=""/>
    <s v="75249747(805)15506"/>
    <s v=""/>
    <s v="  -   -"/>
    <s v="  -   -"/>
    <s v="CJ1"/>
    <s v="NT JAVEL CO-OP 1KG/CH12"/>
    <s v="CJ1"/>
    <s v="NT JAVEL CO-OP"/>
    <s v="SC"/>
    <s v="SIEÂU THÒ COOP"/>
    <s v="02"/>
    <s v="KEÂNH SIEÂU THÒ"/>
    <s v="30-Sep-22"/>
    <s v=""/>
    <s v=""/>
    <s v="  -   -"/>
  </r>
  <r>
    <s v="CO125"/>
    <n v="7"/>
    <s v="00018844"/>
    <s v="HT016"/>
    <s v="F"/>
    <s v="1"/>
    <s v=""/>
    <x v="20"/>
    <s v="NÖÔÙC RÖÛA CHEÙN HÖÔNG CHANH COOP SELECT 800ML/12TUI"/>
    <n v="3360"/>
    <s v="00674463"/>
    <s v="51C 36017"/>
    <n v="11904"/>
    <n v="39997440"/>
    <n v="0"/>
    <n v="0"/>
    <n v="0.1"/>
    <s v=""/>
    <s v="2022-09/04199"/>
    <s v=""/>
    <s v="02216415"/>
    <s v=""/>
    <s v=""/>
    <n v="2741.76"/>
    <n v="280"/>
    <b v="0"/>
    <s v=""/>
    <s v="CK"/>
    <s v=""/>
    <s v="0541"/>
    <s v=""/>
    <b v="0"/>
    <s v="CT10107"/>
    <s v=""/>
    <b v="0"/>
    <s v=""/>
    <s v=""/>
    <s v=""/>
    <n v="0"/>
    <s v=""/>
    <s v="12 TUÙI/THUØNG"/>
    <s v=""/>
    <s v="00241939"/>
    <s v="DG026210"/>
    <s v="CHI NHAÙNH BÌNH DÖÔNG GIAO HAØNG SAØI GOØN CO-OP SOÙNG THAÀN"/>
    <s v=""/>
    <s v="TRUNG TAÂM PHAÂN PHOÁI SAIGON CO.OP"/>
    <s v=""/>
    <s v="75249747(805)15506"/>
    <s v=""/>
    <s v="  -   -"/>
    <s v="  -   -"/>
    <s v="CO1"/>
    <s v="NRC CO-OP 800ML/12"/>
    <s v="NC1"/>
    <s v="NRC CO-OP"/>
    <s v="SC"/>
    <s v="SIEÂU THÒ COOP"/>
    <s v="02"/>
    <s v="KEÂNH SIEÂU THÒ"/>
    <s v="30-Sep-22"/>
    <s v=""/>
    <s v=""/>
    <s v="  -   -"/>
  </r>
  <r>
    <s v="CO125"/>
    <n v="7"/>
    <s v="00018861"/>
    <s v="HT016"/>
    <s v="F"/>
    <s v="E"/>
    <s v=""/>
    <x v="21"/>
    <s v="NÖÔÙC RÖÛA CHEÙN ON1 TINH DAÀU GÖØNG SAÛ 1KG/CH12"/>
    <n v="1056"/>
    <s v="00674480"/>
    <s v="51C 36017"/>
    <n v="25680"/>
    <n v="27118080"/>
    <n v="0"/>
    <n v="0"/>
    <n v="0.1"/>
    <s v=""/>
    <s v="2022-09/04224"/>
    <s v=""/>
    <s v="02216478"/>
    <s v=""/>
    <s v=""/>
    <n v="1056"/>
    <n v="88"/>
    <b v="0"/>
    <s v=""/>
    <s v="CK"/>
    <s v=""/>
    <s v="0541"/>
    <s v=""/>
    <b v="0"/>
    <s v="CT10107"/>
    <s v=""/>
    <b v="0"/>
    <s v=""/>
    <s v=""/>
    <s v=""/>
    <n v="0"/>
    <s v=""/>
    <s v="12 CHAI/THUØNG"/>
    <s v=""/>
    <s v="00241970"/>
    <s v="DG026210"/>
    <s v="CHI NHAÙNH BÌNH DÖÔNG GIAO HAØNG SAØI GOØN CO-OP SOÙNG THAÀN"/>
    <s v=""/>
    <s v="TRUNG TAÂM PHAÂN PHOÁI SAIGON CO.OP"/>
    <s v=""/>
    <s v="75256916(805)11086"/>
    <s v=""/>
    <s v="  -   -"/>
    <s v="  -   -"/>
    <s v="553"/>
    <s v="NRC ON1 TINH DAÀU GÖØNG SAÛ 1KG/CH12"/>
    <s v="N55"/>
    <s v="NRC ON1 TINH DAÀU GÖØNG SAÛ"/>
    <s v="SC"/>
    <s v="SIEÂU THÒ COOP"/>
    <s v="02"/>
    <s v="KEÂNH SIEÂU THÒ"/>
    <s v="30-Sep-22"/>
    <s v=""/>
    <s v=""/>
    <s v="  -   -"/>
  </r>
  <r>
    <s v="CO125"/>
    <n v="8"/>
    <s v="00018849"/>
    <s v="HT016"/>
    <s v="F"/>
    <s v="E"/>
    <s v=""/>
    <x v="15"/>
    <s v="NÖÔÙC GIAËT LIX HÖÔNG NÖÔÙC HOA 3,6KG/C04"/>
    <n v="600"/>
    <s v="00674464"/>
    <s v="51C 36017"/>
    <n v="83719"/>
    <n v="50231400"/>
    <n v="0"/>
    <n v="0"/>
    <n v="0.1"/>
    <s v=""/>
    <s v="2022-09/04224"/>
    <s v=""/>
    <s v="02216416"/>
    <s v=""/>
    <s v=""/>
    <n v="2160"/>
    <n v="150"/>
    <b v="0"/>
    <s v=""/>
    <s v="CK"/>
    <s v=""/>
    <s v="0541"/>
    <s v=""/>
    <b v="0"/>
    <s v="CT10107"/>
    <s v=""/>
    <b v="0"/>
    <s v=""/>
    <s v=""/>
    <s v=""/>
    <n v="0"/>
    <s v=""/>
    <s v="4 CAN/THUØNG"/>
    <s v=""/>
    <s v="00241970"/>
    <s v="DG026210"/>
    <s v="CHI NHAÙNH BÌNH DÖÔNG GIAO HAØNG SAØI GOØN CO-OP SOÙNG THAÀN"/>
    <s v=""/>
    <s v="TRUNG TAÂM PHAÂN PHOÁI SAIGON CO.OP"/>
    <s v=""/>
    <s v="75256916(805)11086"/>
    <s v=""/>
    <s v="  -   -"/>
    <s v="  -   -"/>
    <s v="H36"/>
    <s v="NG LIX HÖÔNG NÖÔÙC HOA 3,6KG/C04"/>
    <s v="NNH"/>
    <s v="NG LIX HÖÔNG NÖÔÙC HOA"/>
    <s v="SC"/>
    <s v="SIEÂU THÒ COOP"/>
    <s v="02"/>
    <s v="KEÂNH SIEÂU THÒ"/>
    <s v="30-Sep-22"/>
    <s v=""/>
    <s v=""/>
    <s v="  -   -"/>
  </r>
  <r>
    <s v="CO125"/>
    <n v="8"/>
    <s v="00018849"/>
    <s v="HT016"/>
    <s v="F"/>
    <s v="E"/>
    <s v=""/>
    <x v="22"/>
    <s v="NÖÔÙC GIAËT LIX MATIC HÖÔNG NÖÔÙC HOA (NEW) 3,6KG/C04"/>
    <n v="1200"/>
    <s v="00674464"/>
    <s v="51C 36017"/>
    <n v="96048"/>
    <n v="115257600"/>
    <n v="0"/>
    <n v="0"/>
    <n v="0.1"/>
    <s v=""/>
    <s v="2022-09/04224"/>
    <s v=""/>
    <s v="02216417"/>
    <s v=""/>
    <s v=""/>
    <n v="4320"/>
    <n v="300"/>
    <b v="0"/>
    <s v=""/>
    <s v="CK"/>
    <s v=""/>
    <s v="0541"/>
    <s v=""/>
    <b v="0"/>
    <s v="CT10107"/>
    <s v=""/>
    <b v="0"/>
    <s v=""/>
    <s v=""/>
    <s v=""/>
    <n v="0"/>
    <s v=""/>
    <s v="4 CAN/THUØNG"/>
    <s v=""/>
    <s v="00241970"/>
    <s v="DG026210"/>
    <s v="CHI NHAÙNH BÌNH DÖÔNG GIAO HAØNG SAØI GOØN CO-OP SOÙNG THAÀN"/>
    <s v=""/>
    <s v="TRUNG TAÂM PHAÂN PHOÁI SAIGON CO.OP"/>
    <s v=""/>
    <s v="75256916(805)11086"/>
    <s v=""/>
    <s v="  -   -"/>
    <s v="  -   -"/>
    <s v="MNJ"/>
    <s v="NG LIX MATIC HÖÔNG NÖÔÙC HOA 3,6KG/C04"/>
    <s v="MNH"/>
    <s v="NG LIX MATIC HÖÔNG NÖÔÙC HOA"/>
    <s v="SC"/>
    <s v="SIEÂU THÒ COOP"/>
    <s v="02"/>
    <s v="KEÂNH SIEÂU THÒ"/>
    <s v="30-Sep-22"/>
    <s v=""/>
    <s v=""/>
    <s v="  -   -"/>
  </r>
  <r>
    <s v="CO125"/>
    <n v="9"/>
    <s v="00018839"/>
    <s v="HT016"/>
    <s v="F"/>
    <s v="E"/>
    <s v=""/>
    <x v="23"/>
    <s v="NÖÔÙC TAÅY JAVEL LIX 1KG/CH12"/>
    <n v="864"/>
    <s v="00674465"/>
    <s v="51C 36017"/>
    <n v="16580"/>
    <n v="14325120"/>
    <n v="0"/>
    <n v="0"/>
    <n v="0.1"/>
    <s v=""/>
    <s v="2022-09/04224"/>
    <s v=""/>
    <s v="02216418"/>
    <s v=""/>
    <s v=""/>
    <n v="864"/>
    <n v="72"/>
    <b v="0"/>
    <s v=""/>
    <s v="CK"/>
    <s v=""/>
    <s v="0541"/>
    <s v=""/>
    <b v="0"/>
    <s v="CT10107"/>
    <s v=""/>
    <b v="0"/>
    <s v=""/>
    <s v=""/>
    <s v=""/>
    <n v="0"/>
    <s v=""/>
    <s v="12 CHAI/THUNG"/>
    <s v=""/>
    <s v="00241970"/>
    <s v="DG026210"/>
    <s v="CHI NHAÙNH BÌNH DÖÔNG GIAO HAØNG SAØI GOØN CO-OP SOÙNG THAÀN"/>
    <s v=""/>
    <s v="TRUNG TAÂM PHAÂN PHOÁI SAIGON CO.OP"/>
    <s v=""/>
    <s v="75256916(805)11086"/>
    <s v=""/>
    <s v="  -   -"/>
    <s v="  -   -"/>
    <s v="JL1"/>
    <s v="NT JAVEL 1KG/CH12"/>
    <s v="JVL"/>
    <s v="NT JAVEL LIX"/>
    <s v="SC"/>
    <s v="SIEÂU THÒ COOP"/>
    <s v="02"/>
    <s v="KEÂNH SIEÂU THÒ"/>
    <s v="30-Sep-22"/>
    <s v=""/>
    <s v=""/>
    <s v="  -   -"/>
  </r>
  <r>
    <s v="CO125"/>
    <n v="9"/>
    <s v="00018858"/>
    <s v="HT016"/>
    <s v="F"/>
    <s v="1"/>
    <s v=""/>
    <x v="24"/>
    <s v="NÖÔÙC RÖÛA CHEÙN HÖÔNG CHANH COOP SELECT 1,8L/C08"/>
    <n v="720"/>
    <s v="00674466"/>
    <s v="51C 36017"/>
    <n v="27663"/>
    <n v="19917360"/>
    <n v="0"/>
    <n v="0"/>
    <n v="0.1"/>
    <s v=""/>
    <s v="2022-09/04199"/>
    <s v=""/>
    <s v="02216419"/>
    <s v=""/>
    <s v=""/>
    <n v="1321.92"/>
    <n v="90"/>
    <b v="0"/>
    <s v=""/>
    <s v="CK"/>
    <s v=""/>
    <s v="0541"/>
    <s v=""/>
    <b v="0"/>
    <s v="CT10107"/>
    <s v=""/>
    <b v="0"/>
    <s v=""/>
    <s v=""/>
    <s v=""/>
    <n v="0"/>
    <s v=""/>
    <s v="8 CAN/THUØNG"/>
    <s v=""/>
    <s v="00241939"/>
    <s v="DG026210"/>
    <s v="CHI NHAÙNH BÌNH DÖÔNG GIAO HAØNG SAØI GOØN CO-OP SOÙNG THAÀN"/>
    <s v=""/>
    <s v="TRUNG TAÂM PHAÂN PHOÁI SAIGON CO.OP"/>
    <s v=""/>
    <s v="75249747(805)15506"/>
    <s v=""/>
    <s v="  -   -"/>
    <s v="  -   -"/>
    <s v="C18"/>
    <s v="NRC COOP CHANH 1,8L/C08"/>
    <s v="NC1"/>
    <s v="NRC CO-OP"/>
    <s v="SC"/>
    <s v="SIEÂU THÒ COOP"/>
    <s v="02"/>
    <s v="KEÂNH SIEÂU THÒ"/>
    <s v="30-Sep-22"/>
    <s v=""/>
    <s v=""/>
    <s v="  -   -"/>
  </r>
  <r>
    <s v="CO125"/>
    <n v="9"/>
    <s v="00018858"/>
    <s v="HT016"/>
    <s v="F"/>
    <s v="1"/>
    <s v=""/>
    <x v="25"/>
    <s v="NÖÔÙC RÖÛA CHEÙN TRAØ XANH COOP SELECT 1,8L/C8"/>
    <n v="720"/>
    <s v="00674466"/>
    <s v="51C 36017"/>
    <n v="27663"/>
    <n v="19917360"/>
    <n v="0"/>
    <n v="0"/>
    <n v="0.1"/>
    <s v=""/>
    <s v="2022-09/04199"/>
    <s v=""/>
    <s v="02216420"/>
    <s v=""/>
    <s v=""/>
    <n v="1321.92"/>
    <n v="90"/>
    <b v="0"/>
    <s v=""/>
    <s v="CK"/>
    <s v=""/>
    <s v="0541"/>
    <s v=""/>
    <b v="0"/>
    <s v="CT10107"/>
    <s v=""/>
    <b v="0"/>
    <s v=""/>
    <s v=""/>
    <s v=""/>
    <n v="0"/>
    <s v=""/>
    <s v="8 CAN/THUØNG"/>
    <s v=""/>
    <s v="00241939"/>
    <s v="DG026210"/>
    <s v="CHI NHAÙNH BÌNH DÖÔNG GIAO HAØNG SAØI GOØN CO-OP SOÙNG THAÀN"/>
    <s v=""/>
    <s v="TRUNG TAÂM PHAÂN PHOÁI SAIGON CO.OP"/>
    <s v=""/>
    <s v="75249747(805)15506"/>
    <s v=""/>
    <s v="  -   -"/>
    <s v="  -   -"/>
    <s v="NC2"/>
    <s v="NRC CO-OP TRAØ 1,8L/C08"/>
    <s v="NC1"/>
    <s v="NRC CO-OP"/>
    <s v="SC"/>
    <s v="SIEÂU THÒ COOP"/>
    <s v="02"/>
    <s v="KEÂNH SIEÂU THÒ"/>
    <s v="30-Sep-22"/>
    <s v=""/>
    <s v=""/>
    <s v="  -   -"/>
  </r>
  <r>
    <s v="CO125"/>
    <n v="9"/>
    <s v="00018858"/>
    <s v="HT016"/>
    <s v="F"/>
    <s v="1"/>
    <s v=""/>
    <x v="26"/>
    <s v="NÖÔÙC TAÅY TOILET COOP SELECT 500ML/C24"/>
    <n v="1728"/>
    <s v="00674466"/>
    <s v="51C 36017"/>
    <n v="10619"/>
    <n v="18349632"/>
    <n v="0"/>
    <n v="0"/>
    <n v="0.1"/>
    <s v=""/>
    <s v="2022-09/04199"/>
    <s v=""/>
    <s v="02216421"/>
    <s v=""/>
    <s v=""/>
    <n v="915.84"/>
    <n v="72"/>
    <b v="0"/>
    <s v=""/>
    <s v="CK"/>
    <s v=""/>
    <s v="0541"/>
    <s v=""/>
    <b v="0"/>
    <s v="CT10107"/>
    <s v=""/>
    <b v="0"/>
    <s v=""/>
    <s v=""/>
    <s v=""/>
    <n v="0"/>
    <s v=""/>
    <s v="24 CHAI/THUØNG"/>
    <s v=""/>
    <s v="00241939"/>
    <s v="DG026210"/>
    <s v="CHI NHAÙNH BÌNH DÖÔNG GIAO HAØNG SAØI GOØN CO-OP SOÙNG THAÀN"/>
    <s v=""/>
    <s v="TRUNG TAÂM PHAÂN PHOÁI SAIGON CO.OP"/>
    <s v=""/>
    <s v="75249747(805)15506"/>
    <s v=""/>
    <s v="  -   -"/>
    <s v="  -   -"/>
    <s v="TC1"/>
    <s v="NT TOILET CO-OP 500ML/CH24"/>
    <s v="CN2"/>
    <s v="NT TOILET CO-OP"/>
    <s v="SC"/>
    <s v="SIEÂU THÒ COOP"/>
    <s v="02"/>
    <s v="KEÂNH SIEÂU THÒ"/>
    <s v="30-Sep-22"/>
    <s v=""/>
    <s v=""/>
    <s v="  -   -"/>
  </r>
  <r>
    <s v="CO125"/>
    <n v="9"/>
    <s v="00018858"/>
    <s v="HT016"/>
    <s v="F"/>
    <s v="1"/>
    <s v=""/>
    <x v="27"/>
    <s v="NÖÔÙC RÖÛA CHEÙN HÖÔNG TAÙO COOP SELECT 1,8/C8"/>
    <n v="1080"/>
    <s v="00674466"/>
    <s v="51C 36017"/>
    <n v="27663"/>
    <n v="29876040"/>
    <n v="0"/>
    <n v="0"/>
    <n v="0.1"/>
    <s v=""/>
    <s v="2022-09/04199"/>
    <s v=""/>
    <s v="02216422"/>
    <s v=""/>
    <s v=""/>
    <n v="1982.88"/>
    <n v="135"/>
    <b v="0"/>
    <s v=""/>
    <s v="CK"/>
    <s v=""/>
    <s v="0541"/>
    <s v=""/>
    <b v="0"/>
    <s v="CT10107"/>
    <s v=""/>
    <b v="0"/>
    <s v=""/>
    <s v=""/>
    <s v=""/>
    <n v="0"/>
    <s v=""/>
    <s v="8 CAN/THUØNG"/>
    <s v=""/>
    <s v="00241939"/>
    <s v="DG026210"/>
    <s v="CHI NHAÙNH BÌNH DÖÔNG GIAO HAØNG SAØI GOØN CO-OP SOÙNG THAÀN"/>
    <s v=""/>
    <s v="TRUNG TAÂM PHAÂN PHOÁI SAIGON CO.OP"/>
    <s v=""/>
    <s v="75249747(805)15506"/>
    <s v=""/>
    <s v="  -   -"/>
    <s v="  -   -"/>
    <s v="C18"/>
    <s v="NRC COOP CHANH 1,8L/C08"/>
    <s v="NC1"/>
    <s v="NRC CO-OP"/>
    <s v="SC"/>
    <s v="SIEÂU THÒ COOP"/>
    <s v="02"/>
    <s v="KEÂNH SIEÂU THÒ"/>
    <s v="30-Sep-22"/>
    <s v=""/>
    <s v=""/>
    <s v="  -   -"/>
  </r>
  <r>
    <s v="CO125"/>
    <n v="9"/>
    <s v="00018843"/>
    <s v="HT016"/>
    <s v="F"/>
    <s v="E"/>
    <s v=""/>
    <x v="15"/>
    <s v="NÖÔÙC GIAËT LIX HÖÔNG NÖÔÙC HOA 3,6KG/C04"/>
    <n v="240"/>
    <s v="00674481"/>
    <s v="51C 36017"/>
    <n v="83719"/>
    <n v="20092560"/>
    <n v="0"/>
    <n v="0"/>
    <n v="0.1"/>
    <s v="111"/>
    <s v="2022-09/04224"/>
    <s v=""/>
    <s v="02216479"/>
    <s v=""/>
    <s v=""/>
    <n v="864"/>
    <n v="60"/>
    <b v="0"/>
    <s v=""/>
    <s v="CK"/>
    <s v=""/>
    <s v="0541"/>
    <s v=""/>
    <b v="0"/>
    <s v="CT10107"/>
    <s v=""/>
    <b v="0"/>
    <s v=""/>
    <s v=""/>
    <s v=""/>
    <n v="0"/>
    <s v=""/>
    <s v="4 CAN/THUØNG"/>
    <s v=""/>
    <s v="00241970"/>
    <s v="DG026210"/>
    <s v="CHI NHAÙNH BÌNH DÖÔNG GIAO HAØNG SAØI GOØN CO-OP SOÙNG THAÀN"/>
    <s v=""/>
    <s v="TRUNG TAÂM PHAÂN PHOÁI SAIGON CO.OP"/>
    <s v=""/>
    <s v="75256916(805)11086"/>
    <s v=""/>
    <s v="  -   -"/>
    <s v="  -   -"/>
    <s v="H36"/>
    <s v="NG LIX HÖÔNG NÖÔÙC HOA 3,6KG/C04"/>
    <s v="NNH"/>
    <s v="NG LIX HÖÔNG NÖÔÙC HOA"/>
    <s v="SC"/>
    <s v="SIEÂU THÒ COOP"/>
    <s v="02"/>
    <s v="KEÂNH SIEÂU THÒ"/>
    <s v="30-Sep-22"/>
    <s v=""/>
    <s v=""/>
    <s v="  -   -"/>
  </r>
  <r>
    <m/>
    <m/>
    <m/>
    <m/>
    <m/>
    <m/>
    <m/>
    <x v="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44">
  <r>
    <s v="CO125"/>
    <x v="0"/>
    <x v="0"/>
    <s v="HT016"/>
    <s v="F"/>
    <s v="1"/>
    <s v=""/>
    <x v="0"/>
    <s v="NÖÔÙC RÖÛA CHEÙN TRAØ XANH COOP SELECT 4L/C04"/>
    <n v="760"/>
    <s v="00674432"/>
    <s v="51C 36017"/>
    <n v="59793"/>
    <n v="45442680"/>
    <n v="0"/>
    <n v="0"/>
    <n v="0.1"/>
    <s v="111"/>
    <s v="2022-09/04196"/>
    <s v=""/>
    <s v="02216355"/>
    <s v=""/>
    <s v=""/>
    <n v="3100.8"/>
    <n v="190"/>
    <b v="0"/>
    <s v=""/>
    <s v="CK"/>
    <s v=""/>
    <s v="0541"/>
    <s v=""/>
    <b v="0"/>
    <s v="CT10107"/>
    <s v=""/>
    <b v="0"/>
    <s v=""/>
    <s v=""/>
    <s v=""/>
    <n v="0"/>
    <s v=""/>
    <s v="4 CAN/THUØNG"/>
    <s v=""/>
    <s v="00241936"/>
    <s v="DG026210"/>
    <s v="CHI NHAÙNH BÌNH DÖÔNG GIAO HAØNG SAØI GOØN CO-OP SOÙNG THAÀN"/>
    <s v=""/>
    <s v="TRUNG TAÂM PHAÂN PHOÁI SAIGON CO.OP"/>
    <s v=""/>
    <x v="0"/>
  </r>
  <r>
    <s v="CO125"/>
    <x v="0"/>
    <x v="0"/>
    <s v="HT016"/>
    <s v="F"/>
    <s v="1"/>
    <s v=""/>
    <x v="1"/>
    <s v="NÖÔÙC LAØM MEÀM VAÛI DD HÖÔNG HOA COOP SELECT 1,8L/C08"/>
    <n v="608"/>
    <s v="00674432"/>
    <s v="51C 36017"/>
    <n v="53647"/>
    <n v="32617376"/>
    <n v="0"/>
    <n v="0"/>
    <n v="0.1"/>
    <s v="111"/>
    <s v="2022-09/04196"/>
    <s v=""/>
    <s v="02216356"/>
    <s v=""/>
    <s v=""/>
    <n v="1083.46"/>
    <n v="76"/>
    <b v="0"/>
    <s v=""/>
    <s v="CK"/>
    <s v=""/>
    <s v="0541"/>
    <s v=""/>
    <b v="0"/>
    <s v="CT10107"/>
    <s v=""/>
    <b v="0"/>
    <s v=""/>
    <s v=""/>
    <s v=""/>
    <n v="0"/>
    <s v=""/>
    <s v="8 CAN/THUØNG"/>
    <s v=""/>
    <s v="00241936"/>
    <s v="DG026210"/>
    <s v="CHI NHAÙNH BÌNH DÖÔNG GIAO HAØNG SAØI GOØN CO-OP SOÙNG THAÀN"/>
    <s v=""/>
    <s v="TRUNG TAÂM PHAÂN PHOÁI SAIGON CO.OP"/>
    <s v=""/>
    <x v="0"/>
  </r>
  <r>
    <s v="CO125"/>
    <x v="0"/>
    <x v="0"/>
    <s v="HT016"/>
    <s v="F"/>
    <s v="1"/>
    <s v=""/>
    <x v="2"/>
    <s v="NÖÔÙC RÖÛA CHEÙN HÖÔNG TAÙO COOP SELECT 4L/C4"/>
    <n v="608"/>
    <s v="00674432"/>
    <s v="51C 36017"/>
    <n v="56946"/>
    <n v="34623168"/>
    <n v="0"/>
    <n v="0"/>
    <n v="0.1"/>
    <s v="111"/>
    <s v="2022-09/04196"/>
    <s v=""/>
    <s v="02216357"/>
    <s v=""/>
    <s v=""/>
    <n v="2480.64"/>
    <n v="152"/>
    <b v="0"/>
    <s v=""/>
    <s v="CK"/>
    <s v=""/>
    <s v="0541"/>
    <s v=""/>
    <b v="0"/>
    <s v="CT10107"/>
    <s v=""/>
    <b v="0"/>
    <s v=""/>
    <s v=""/>
    <s v=""/>
    <n v="0"/>
    <s v=""/>
    <s v="4 CAN/THUØNG"/>
    <s v=""/>
    <s v="00241936"/>
    <s v="DG026210"/>
    <s v="CHI NHAÙNH BÌNH DÖÔNG GIAO HAØNG SAØI GOØN CO-OP SOÙNG THAÀN"/>
    <s v=""/>
    <s v="TRUNG TAÂM PHAÂN PHOÁI SAIGON CO.OP"/>
    <s v=""/>
    <x v="0"/>
  </r>
  <r>
    <s v="CO125"/>
    <x v="0"/>
    <x v="1"/>
    <s v="HT016"/>
    <s v="F"/>
    <s v="("/>
    <s v=""/>
    <x v="0"/>
    <s v="NÖÔÙC RÖÛA CHEÙN TRAØ XANH COOP SELECT 4L/C04"/>
    <n v="40"/>
    <s v="00674433"/>
    <s v="51C 36017"/>
    <n v="44887"/>
    <n v="1795480"/>
    <n v="0"/>
    <n v="0"/>
    <n v="0"/>
    <s v=""/>
    <s v="2022-09/04196"/>
    <s v="NC106"/>
    <s v="02216358"/>
    <s v="02216355"/>
    <s v="_x000d__x000a_Haøng khuyeán maïi"/>
    <n v="163.19999999999999"/>
    <n v="10"/>
    <b v="0"/>
    <s v=""/>
    <s v="CK"/>
    <s v=""/>
    <s v="0541"/>
    <s v=""/>
    <b v="0"/>
    <s v="CT10107"/>
    <s v=""/>
    <b v="0"/>
    <s v=""/>
    <s v=""/>
    <s v=""/>
    <n v="0"/>
    <s v=""/>
    <s v="4 CAN/THUØNG"/>
    <s v=""/>
    <s v="00241936"/>
    <s v="DG026210"/>
    <s v="CHI NHAÙNH BÌNH DÖÔNG GIAO HAØNG SAØI GOØN CO-OP SOÙNG THAÀN"/>
    <s v=""/>
    <s v="TRUNG TAÂM PHAÂN PHOÁI SAIGON CO.OP"/>
    <s v=""/>
    <x v="0"/>
  </r>
  <r>
    <s v="CO125"/>
    <x v="0"/>
    <x v="1"/>
    <s v="HT016"/>
    <s v="F"/>
    <s v="("/>
    <s v=""/>
    <x v="1"/>
    <s v="NÖÔÙC LAØM MEÀM VAÛI DD HÖÔNG HOA COOP SELECT 1,8L/C08"/>
    <n v="32"/>
    <s v="00674433"/>
    <s v="51C 36017"/>
    <n v="38878"/>
    <n v="1244096"/>
    <n v="0"/>
    <n v="0"/>
    <n v="0"/>
    <s v=""/>
    <s v="2022-09/04196"/>
    <s v="NVC02"/>
    <s v="02216359"/>
    <s v="02216356"/>
    <s v="_x000d__x000a_Haøng khuyeán maïi"/>
    <n v="57.02"/>
    <n v="4"/>
    <b v="0"/>
    <s v=""/>
    <s v="CK"/>
    <s v=""/>
    <s v="0541"/>
    <s v=""/>
    <b v="0"/>
    <s v="CT10107"/>
    <s v=""/>
    <b v="0"/>
    <s v=""/>
    <s v=""/>
    <s v=""/>
    <n v="0"/>
    <s v=""/>
    <s v="8 CAN/THUØNG"/>
    <s v=""/>
    <s v="00241936"/>
    <s v="DG026210"/>
    <s v="CHI NHAÙNH BÌNH DÖÔNG GIAO HAØNG SAØI GOØN CO-OP SOÙNG THAÀN"/>
    <s v=""/>
    <s v="TRUNG TAÂM PHAÂN PHOÁI SAIGON CO.OP"/>
    <s v=""/>
    <x v="0"/>
  </r>
  <r>
    <s v="CO125"/>
    <x v="0"/>
    <x v="1"/>
    <s v="HT016"/>
    <s v="F"/>
    <s v="("/>
    <s v=""/>
    <x v="2"/>
    <s v="NÖÔÙC RÖÛA CHEÙN HÖÔNG TAÙO COOP SELECT 4L/C4"/>
    <n v="32"/>
    <s v="00674433"/>
    <s v="51C 36017"/>
    <n v="43661"/>
    <n v="1397152"/>
    <n v="0"/>
    <n v="0"/>
    <n v="0"/>
    <s v=""/>
    <s v="2022-09/04196"/>
    <s v="NC102"/>
    <s v="02216360"/>
    <s v="02216357"/>
    <s v="_x000d__x000a_Haøng khuyeán maïi"/>
    <n v="130.56"/>
    <n v="8"/>
    <b v="0"/>
    <s v=""/>
    <s v="CK"/>
    <s v=""/>
    <s v="0541"/>
    <s v=""/>
    <b v="0"/>
    <s v="CT10107"/>
    <s v=""/>
    <b v="0"/>
    <s v=""/>
    <s v=""/>
    <s v=""/>
    <n v="0"/>
    <s v=""/>
    <s v="4 CAN/THUØNG"/>
    <s v=""/>
    <s v="00241936"/>
    <s v="DG026210"/>
    <s v="CHI NHAÙNH BÌNH DÖÔNG GIAO HAØNG SAØI GOØN CO-OP SOÙNG THAÀN"/>
    <s v=""/>
    <s v="TRUNG TAÂM PHAÂN PHOÁI SAIGON CO.OP"/>
    <s v=""/>
    <x v="0"/>
  </r>
  <r>
    <s v="CO125"/>
    <x v="1"/>
    <x v="2"/>
    <s v="HT016"/>
    <s v="F"/>
    <s v="E"/>
    <s v=""/>
    <x v="3"/>
    <s v="NÖÔÙC RÖÛA CHEÙN LIX CHANH 3,6KG/C04"/>
    <n v="1600"/>
    <s v="00674434"/>
    <s v="51C 36017"/>
    <n v="55624"/>
    <n v="88998400"/>
    <n v="0"/>
    <n v="0"/>
    <n v="0.1"/>
    <s v=""/>
    <s v="2022-09/04224"/>
    <s v=""/>
    <s v="02216361"/>
    <s v=""/>
    <s v=""/>
    <n v="5760"/>
    <n v="400"/>
    <b v="0"/>
    <s v=""/>
    <s v="CK"/>
    <s v=""/>
    <s v="0541"/>
    <s v=""/>
    <b v="0"/>
    <s v="CT10107"/>
    <s v=""/>
    <b v="0"/>
    <s v=""/>
    <s v=""/>
    <s v=""/>
    <n v="0"/>
    <s v=""/>
    <s v="4 CAN/THUNG"/>
    <s v=""/>
    <s v="00241970"/>
    <s v="DG026210"/>
    <s v="CHI NHAÙNH BÌNH DÖÔNG GIAO HAØNG SAØI GOØN CO-OP SOÙNG THAÀN"/>
    <s v=""/>
    <s v="TRUNG TAÂM PHAÂN PHOÁI SAIGON CO.OP"/>
    <s v=""/>
    <x v="1"/>
  </r>
  <r>
    <s v="CO125"/>
    <x v="1"/>
    <x v="2"/>
    <s v="HT016"/>
    <s v="F"/>
    <s v="E"/>
    <s v=""/>
    <x v="4"/>
    <s v="NÖÔÙC GIAËT LIX MATIC HÖÔNG BAMBOO 3,6KG/C04"/>
    <n v="600"/>
    <s v="00674434"/>
    <s v="51C 36017"/>
    <n v="80560"/>
    <n v="48336000"/>
    <n v="0"/>
    <n v="0"/>
    <n v="0.1"/>
    <s v=""/>
    <s v="2022-09/04224"/>
    <s v=""/>
    <s v="02216362"/>
    <s v=""/>
    <s v=""/>
    <n v="2160"/>
    <n v="150"/>
    <b v="0"/>
    <s v=""/>
    <s v="CK"/>
    <s v=""/>
    <s v="0541"/>
    <s v=""/>
    <b v="0"/>
    <s v="CT10107"/>
    <s v=""/>
    <b v="0"/>
    <s v=""/>
    <s v=""/>
    <s v=""/>
    <n v="0"/>
    <s v=""/>
    <s v="4 CAN/THUØNG"/>
    <s v=""/>
    <s v="00241970"/>
    <s v="DG026210"/>
    <s v="CHI NHAÙNH BÌNH DÖÔNG GIAO HAØNG SAØI GOØN CO-OP SOÙNG THAÀN"/>
    <s v=""/>
    <s v="TRUNG TAÂM PHAÂN PHOÁI SAIGON CO.OP"/>
    <s v=""/>
    <x v="1"/>
  </r>
  <r>
    <s v="CO125"/>
    <x v="2"/>
    <x v="3"/>
    <s v="HT016"/>
    <s v="F"/>
    <s v="E"/>
    <s v=""/>
    <x v="5"/>
    <s v="NÖÔÙC RÖÛA CHEÙN SIEÂU SAÏCH CHANH 3,6KG/C04"/>
    <n v="1600"/>
    <s v="00674435"/>
    <s v="51C 36017"/>
    <n v="47775"/>
    <n v="76440000"/>
    <n v="0"/>
    <n v="0"/>
    <n v="0.1"/>
    <s v=""/>
    <s v="2022-09/04224"/>
    <s v=""/>
    <s v="02216363"/>
    <s v=""/>
    <s v=""/>
    <n v="5760"/>
    <n v="400"/>
    <b v="0"/>
    <s v=""/>
    <s v="CK"/>
    <s v=""/>
    <s v="0541"/>
    <s v=""/>
    <b v="0"/>
    <s v="CT10107"/>
    <s v=""/>
    <b v="0"/>
    <s v=""/>
    <s v=""/>
    <s v=""/>
    <n v="0"/>
    <s v=""/>
    <s v="4 CAN/THUØNG"/>
    <s v=""/>
    <s v="00241970"/>
    <s v="DG026210"/>
    <s v="CHI NHAÙNH BÌNH DÖÔNG GIAO HAØNG SAØI GOØN CO-OP SOÙNG THAÀN"/>
    <s v=""/>
    <s v="TRUNG TAÂM PHAÂN PHOÁI SAIGON CO.OP"/>
    <s v=""/>
    <x v="1"/>
  </r>
  <r>
    <s v="CO125"/>
    <x v="2"/>
    <x v="3"/>
    <s v="HT016"/>
    <s v="F"/>
    <s v="E"/>
    <s v=""/>
    <x v="4"/>
    <s v="NÖÔÙC GIAËT LIX MATIC HÖÔNG BAMBOO 3,6KG/C04"/>
    <n v="200"/>
    <s v="00674435"/>
    <s v="51C 36017"/>
    <n v="80560"/>
    <n v="16112000"/>
    <n v="0"/>
    <n v="0"/>
    <n v="0.1"/>
    <s v=""/>
    <s v="2022-09/04224"/>
    <s v=""/>
    <s v="02216364"/>
    <s v=""/>
    <s v=""/>
    <n v="720"/>
    <n v="50"/>
    <b v="0"/>
    <s v=""/>
    <s v="CK"/>
    <s v=""/>
    <s v="0541"/>
    <s v=""/>
    <b v="0"/>
    <s v="CT10107"/>
    <s v=""/>
    <b v="0"/>
    <s v=""/>
    <s v=""/>
    <s v=""/>
    <n v="0"/>
    <s v=""/>
    <s v="4 CAN/THUØNG"/>
    <s v=""/>
    <s v="00241970"/>
    <s v="DG026210"/>
    <s v="CHI NHAÙNH BÌNH DÖÔNG GIAO HAØNG SAØI GOØN CO-OP SOÙNG THAÀN"/>
    <s v=""/>
    <s v="TRUNG TAÂM PHAÂN PHOÁI SAIGON CO.OP"/>
    <s v=""/>
    <x v="1"/>
  </r>
  <r>
    <s v="CO125"/>
    <x v="2"/>
    <x v="4"/>
    <s v="HT016"/>
    <s v="F"/>
    <s v="1"/>
    <s v=""/>
    <x v="1"/>
    <s v="NÖÔÙC LAØM MEÀM VAÛI DD HÖÔNG HOA COOP SELECT 1,8L/C08"/>
    <n v="456"/>
    <s v="00674436"/>
    <s v="51C 36017"/>
    <n v="53647"/>
    <n v="24463032"/>
    <n v="0"/>
    <n v="0"/>
    <n v="0.1"/>
    <s v=""/>
    <s v="2022-09/04196"/>
    <s v=""/>
    <s v="02216365"/>
    <s v=""/>
    <s v=""/>
    <n v="812.59"/>
    <n v="57"/>
    <b v="0"/>
    <s v=""/>
    <s v="CK"/>
    <s v=""/>
    <s v="0541"/>
    <s v=""/>
    <b v="0"/>
    <s v="CT10107"/>
    <s v=""/>
    <b v="0"/>
    <s v=""/>
    <s v=""/>
    <s v=""/>
    <n v="0"/>
    <s v=""/>
    <s v="8 CAN/THUØNG"/>
    <s v=""/>
    <s v="00241936"/>
    <s v="DG026210"/>
    <s v="CHI NHAÙNH BÌNH DÖÔNG GIAO HAØNG SAØI GOØN CO-OP SOÙNG THAÀN"/>
    <s v=""/>
    <s v="TRUNG TAÂM PHAÂN PHOÁI SAIGON CO.OP"/>
    <s v=""/>
    <x v="0"/>
  </r>
  <r>
    <s v="CO125"/>
    <x v="2"/>
    <x v="5"/>
    <s v="HT016"/>
    <s v="F"/>
    <s v="("/>
    <s v=""/>
    <x v="1"/>
    <s v="NÖÔÙC LAØM MEÀM VAÛI DD HÖÔNG HOA COOP SELECT 1,8L/C08"/>
    <n v="24"/>
    <s v="00674437"/>
    <s v="51C 36017"/>
    <n v="38878"/>
    <n v="933072"/>
    <n v="0"/>
    <n v="0"/>
    <n v="0"/>
    <s v="sdf"/>
    <s v="2022-09/04196"/>
    <s v="NVC02"/>
    <s v="02216366"/>
    <s v="02216365"/>
    <s v="Haøng khuyeán maïi"/>
    <n v="42.77"/>
    <n v="3"/>
    <b v="0"/>
    <s v=""/>
    <s v="CK"/>
    <s v=""/>
    <s v="0541"/>
    <s v=""/>
    <b v="0"/>
    <s v="CT10107"/>
    <s v=""/>
    <b v="0"/>
    <s v=""/>
    <s v="(3 THUØNG)"/>
    <s v=""/>
    <n v="0"/>
    <s v=""/>
    <s v="8 CAN/THUØNG"/>
    <s v=""/>
    <s v="00241936"/>
    <s v="DG026210"/>
    <s v="CHI NHAÙNH BÌNH DÖÔNG GIAO HAØNG SAØI GOØN CO-OP SOÙNG THAÀN"/>
    <s v=""/>
    <s v="TRUNG TAÂM PHAÂN PHOÁI SAIGON CO.OP"/>
    <s v=""/>
    <x v="0"/>
  </r>
  <r>
    <s v="CO125"/>
    <x v="3"/>
    <x v="6"/>
    <s v="HT016"/>
    <s v="F"/>
    <s v="1"/>
    <s v=""/>
    <x v="6"/>
    <s v="NÖÔÙC GIAËT HÖÔNG THAÛO MOÄC DD COOP SELECT 2L/C08"/>
    <n v="1320"/>
    <s v="00674440"/>
    <s v="51C 36017"/>
    <n v="48136"/>
    <n v="63539520"/>
    <n v="0"/>
    <n v="0"/>
    <n v="0.1"/>
    <s v=""/>
    <s v="2022-09/00057"/>
    <s v=""/>
    <s v="02216369"/>
    <s v=""/>
    <s v=""/>
    <n v="2745.6"/>
    <n v="165"/>
    <b v="0"/>
    <s v=""/>
    <s v="CK"/>
    <s v=""/>
    <s v="0541"/>
    <s v=""/>
    <b v="0"/>
    <s v="CT10099"/>
    <s v=""/>
    <b v="0"/>
    <s v=""/>
    <s v="(165 THUØNG)"/>
    <s v=""/>
    <n v="0"/>
    <s v=""/>
    <s v="8 CAN/THUØNG"/>
    <s v=""/>
    <s v="00241418"/>
    <s v="DG026210"/>
    <s v="CHI NHAÙNH BÌNH DÖÔNG GIAO HAØNG SAØI GOØN CO-OP SOÙNG THAÀN"/>
    <s v=""/>
    <s v="TRUNG TAÂM PHAÂN PHOÁI SAIGON CO.OP"/>
    <s v=""/>
    <x v="2"/>
  </r>
  <r>
    <s v="CO125"/>
    <x v="3"/>
    <x v="7"/>
    <s v="HT016"/>
    <s v="F"/>
    <s v="("/>
    <s v=""/>
    <x v="6"/>
    <s v="NÖÔÙC GIAËT HÖÔNG THAÛO MOÄC DD COOP SELECT 2L/C08"/>
    <n v="88"/>
    <s v="00674441"/>
    <s v="51C 36017"/>
    <n v="38594"/>
    <n v="3396272"/>
    <n v="0"/>
    <n v="0"/>
    <n v="0"/>
    <s v=""/>
    <s v="2022-09/00057"/>
    <s v="NGC19"/>
    <s v="02216370"/>
    <s v="02216369"/>
    <s v="Haøng khuyeán maïi"/>
    <n v="183.04"/>
    <n v="11"/>
    <b v="0"/>
    <s v=""/>
    <s v="CK"/>
    <s v=""/>
    <s v="0541"/>
    <s v=""/>
    <b v="0"/>
    <s v="CT10099"/>
    <s v=""/>
    <b v="0"/>
    <s v=""/>
    <s v=""/>
    <s v=""/>
    <n v="0"/>
    <s v=""/>
    <s v="8 CAN/THUØNG"/>
    <s v=""/>
    <s v="00241418"/>
    <s v="DG026210"/>
    <s v="CHI NHAÙNH BÌNH DÖÔNG GIAO HAØNG SAØI GOØN CO-OP SOÙNG THAÀN"/>
    <s v=""/>
    <s v="TRUNG TAÂM PHAÂN PHOÁI SAIGON CO.OP"/>
    <s v=""/>
    <x v="2"/>
  </r>
  <r>
    <s v="CO125"/>
    <x v="3"/>
    <x v="8"/>
    <s v="HT016"/>
    <s v="F"/>
    <s v="1"/>
    <s v=""/>
    <x v="7"/>
    <s v="NÖÔÙC RÖÛA CHEÙN TRAØ XANH COOP SELECT 800ML/12TUI"/>
    <n v="1440"/>
    <s v="00674442"/>
    <s v="51C 36017"/>
    <n v="11904"/>
    <n v="17141760"/>
    <n v="0"/>
    <n v="0"/>
    <n v="0.1"/>
    <s v="df"/>
    <s v="2022-09/04199"/>
    <s v=""/>
    <s v="02216371"/>
    <s v=""/>
    <s v=""/>
    <n v="1175.04"/>
    <n v="120"/>
    <b v="0"/>
    <s v=""/>
    <s v="CK"/>
    <s v=""/>
    <s v="0541"/>
    <s v=""/>
    <b v="0"/>
    <s v="CT10107"/>
    <s v=""/>
    <b v="0"/>
    <s v=""/>
    <s v=""/>
    <s v=""/>
    <n v="0"/>
    <s v=""/>
    <s v="12 TUÙI/THUØNG"/>
    <s v=""/>
    <s v="00241939"/>
    <s v="DG026210"/>
    <s v="CHI NHAÙNH BÌNH DÖÔNG GIAO HAØNG SAØI GOØN CO-OP SOÙNG THAÀN"/>
    <s v=""/>
    <s v="TRUNG TAÂM PHAÂN PHOÁI SAIGON CO.OP"/>
    <s v=""/>
    <x v="3"/>
  </r>
  <r>
    <s v="CO125"/>
    <x v="3"/>
    <x v="8"/>
    <s v="HT016"/>
    <s v="F"/>
    <s v="1"/>
    <s v=""/>
    <x v="8"/>
    <s v="NÖÔÙC RÖÛA CHEÙN HÖÔNG TAÙO COOP SELECT 800ML/12TUI"/>
    <n v="480"/>
    <s v="00674442"/>
    <s v="51C 36017"/>
    <n v="11337"/>
    <n v="5441760"/>
    <n v="0"/>
    <n v="0"/>
    <n v="0.1"/>
    <s v="df"/>
    <s v="2022-09/04199"/>
    <s v=""/>
    <s v="02216372"/>
    <s v=""/>
    <s v=""/>
    <n v="391.68"/>
    <n v="40"/>
    <b v="0"/>
    <s v=""/>
    <s v="CK"/>
    <s v=""/>
    <s v="0541"/>
    <s v=""/>
    <b v="0"/>
    <s v="CT10107"/>
    <s v=""/>
    <b v="0"/>
    <s v=""/>
    <s v=""/>
    <s v=""/>
    <n v="0"/>
    <s v=""/>
    <s v="12 TUÙI/THUØNG"/>
    <s v=""/>
    <s v="00241939"/>
    <s v="DG026210"/>
    <s v="CHI NHAÙNH BÌNH DÖÔNG GIAO HAØNG SAØI GOØN CO-OP SOÙNG THAÀN"/>
    <s v=""/>
    <s v="TRUNG TAÂM PHAÂN PHOÁI SAIGON CO.OP"/>
    <s v=""/>
    <x v="3"/>
  </r>
  <r>
    <s v="CO125"/>
    <x v="3"/>
    <x v="9"/>
    <s v="HT016"/>
    <s v="F"/>
    <s v="1"/>
    <s v=""/>
    <x v="6"/>
    <s v="NÖÔÙC GIAËT HÖÔNG THAÛO MOÄC DD COOP SELECT 2L/C08"/>
    <n v="480"/>
    <s v="00674449"/>
    <s v="51C 36017"/>
    <n v="48136"/>
    <n v="23105280"/>
    <n v="0"/>
    <n v="0"/>
    <n v="0.1"/>
    <s v="11"/>
    <s v="2022-09/04196"/>
    <s v=""/>
    <s v="02216398"/>
    <s v=""/>
    <s v=""/>
    <n v="998.4"/>
    <n v="60"/>
    <b v="0"/>
    <s v=""/>
    <s v="CK"/>
    <s v=""/>
    <s v="0541"/>
    <s v=""/>
    <b v="0"/>
    <s v="CT10107"/>
    <s v=""/>
    <b v="0"/>
    <s v=""/>
    <s v=""/>
    <s v=""/>
    <n v="0"/>
    <s v=""/>
    <s v="8 CAN/THUØNG"/>
    <s v=""/>
    <s v="00241936"/>
    <s v="DG026210"/>
    <s v="CHI NHAÙNH BÌNH DÖÔNG GIAO HAØNG SAØI GOØN CO-OP SOÙNG THAÀN"/>
    <s v=""/>
    <s v="TRUNG TAÂM PHAÂN PHOÁI SAIGON CO.OP"/>
    <s v=""/>
    <x v="0"/>
  </r>
  <r>
    <s v="CO125"/>
    <x v="3"/>
    <x v="10"/>
    <s v="HT016"/>
    <s v="F"/>
    <s v="("/>
    <s v=""/>
    <x v="6"/>
    <s v="NÖÔÙC GIAËT HÖÔNG THAÛO MOÄC DD COOP SELECT 2L/C08"/>
    <n v="32"/>
    <s v="00674450"/>
    <s v="51C 36017"/>
    <n v="38594"/>
    <n v="1235008"/>
    <n v="0"/>
    <n v="0"/>
    <n v="0"/>
    <s v=""/>
    <s v="2022-09/04196"/>
    <s v="NGC19"/>
    <s v="02216399"/>
    <s v="02216398"/>
    <s v="Haøng khuyeán maïi"/>
    <n v="66.56"/>
    <n v="4"/>
    <b v="0"/>
    <s v=""/>
    <s v="CK"/>
    <s v=""/>
    <s v="0541"/>
    <s v=""/>
    <b v="0"/>
    <s v="CT10107"/>
    <s v=""/>
    <b v="0"/>
    <s v=""/>
    <s v=""/>
    <s v=""/>
    <n v="0"/>
    <s v=""/>
    <s v="8 CAN/THUØNG"/>
    <s v=""/>
    <s v="00241936"/>
    <s v="DG026210"/>
    <s v="CHI NHAÙNH BÌNH DÖÔNG GIAO HAØNG SAØI GOØN CO-OP SOÙNG THAÀN"/>
    <s v=""/>
    <s v="TRUNG TAÂM PHAÂN PHOÁI SAIGON CO.OP"/>
    <s v=""/>
    <x v="0"/>
  </r>
  <r>
    <s v="CO125"/>
    <x v="4"/>
    <x v="11"/>
    <s v="HT016"/>
    <s v="F"/>
    <s v="E"/>
    <s v=""/>
    <x v="9"/>
    <s v="BOÄT GIAËT LIXE CHANH 5,5KG/03-NÖÔÙC LAU ÑA NAÊNG ON1 500ML"/>
    <n v="630"/>
    <s v="00674451"/>
    <s v="51C 36017"/>
    <n v="108218"/>
    <n v="68177340"/>
    <n v="0"/>
    <n v="0"/>
    <n v="0.1"/>
    <s v=""/>
    <s v="2022-09/03879"/>
    <s v=""/>
    <s v="02216400"/>
    <s v=""/>
    <s v=""/>
    <n v="3465"/>
    <n v="210"/>
    <b v="0"/>
    <s v=""/>
    <s v="CK"/>
    <s v=""/>
    <s v="0541"/>
    <s v=""/>
    <b v="0"/>
    <s v="CT10099"/>
    <s v=""/>
    <b v="0"/>
    <s v=""/>
    <s v=""/>
    <s v=""/>
    <n v="0"/>
    <s v=""/>
    <s v="3 GOÙI/THUNG"/>
    <s v=""/>
    <s v="00241545"/>
    <s v="DG026210"/>
    <s v="CHI NHAÙNH BÌNH DÖÔNG GIAO HAØNG SAØI GOØN CO-OP SOÙNG THAÀN"/>
    <s v=""/>
    <s v="TRUNG TAÂM PHAÂN PHOÁI SAIGON CO.OP"/>
    <s v=""/>
    <x v="4"/>
  </r>
  <r>
    <s v="CO125"/>
    <x v="4"/>
    <x v="12"/>
    <s v="HT016"/>
    <s v="F"/>
    <s v="5"/>
    <s v=""/>
    <x v="10"/>
    <s v="NÖÔÙC LAU ÑA NAÊNG ON1 HÖÔNG BAMBOO CHARCOAL 500ML/CH20-KM"/>
    <n v="630"/>
    <s v="00674452"/>
    <s v="51C 36017"/>
    <n v="15114"/>
    <n v="9521820"/>
    <n v="0"/>
    <n v="0"/>
    <n v="0"/>
    <s v=""/>
    <s v="2022-09/03879"/>
    <s v="EC573"/>
    <s v="02216401"/>
    <s v="02216400"/>
    <s v="Haøng khuyeán maïi"/>
    <n v="311.85000000000002"/>
    <n v="31.5"/>
    <b v="0"/>
    <s v=""/>
    <s v="CK"/>
    <s v=""/>
    <s v="0541"/>
    <s v=""/>
    <b v="0"/>
    <s v="CT10099"/>
    <s v=""/>
    <b v="0"/>
    <s v=""/>
    <s v=""/>
    <s v=""/>
    <n v="0"/>
    <s v=""/>
    <s v="20 CHAI/THUØNG"/>
    <s v=""/>
    <s v="00241545"/>
    <s v="DG026210"/>
    <s v="CHI NHAÙNH BÌNH DÖÔNG GIAO HAØNG SAØI GOØN CO-OP SOÙNG THAÀN"/>
    <s v=""/>
    <s v="TRUNG TAÂM PHAÂN PHOÁI SAIGON CO.OP"/>
    <s v=""/>
    <x v="4"/>
  </r>
  <r>
    <s v="CO125"/>
    <x v="4"/>
    <x v="13"/>
    <s v="HT016"/>
    <s v="F"/>
    <s v="1"/>
    <s v=""/>
    <x v="11"/>
    <s v="NÖÔÙC GIAËT HÖÔNG THAÛO MOÄC DD COOP SELECT 2,5L/04TUI"/>
    <n v="300"/>
    <s v="00674453"/>
    <s v="51C 36017"/>
    <n v="56101"/>
    <n v="16830300"/>
    <n v="0"/>
    <n v="0"/>
    <n v="0.1"/>
    <s v="1"/>
    <s v="2022-09/04196"/>
    <s v=""/>
    <s v="02216402"/>
    <s v=""/>
    <s v=""/>
    <n v="780"/>
    <n v="75"/>
    <b v="0"/>
    <s v=""/>
    <s v="CK"/>
    <s v=""/>
    <s v="0541"/>
    <s v=""/>
    <b v="0"/>
    <s v="CT10107"/>
    <s v=""/>
    <b v="0"/>
    <s v=""/>
    <s v=""/>
    <s v=""/>
    <n v="0"/>
    <s v=""/>
    <s v="4 TUÙI/THUØNG"/>
    <s v=""/>
    <s v="00241936"/>
    <s v="DG026210"/>
    <s v="CHI NHAÙNH BÌNH DÖÔNG GIAO HAØNG SAØI GOØN CO-OP SOÙNG THAÀN"/>
    <s v=""/>
    <s v="TRUNG TAÂM PHAÂN PHOÁI SAIGON CO.OP"/>
    <s v=""/>
    <x v="0"/>
  </r>
  <r>
    <s v="CO125"/>
    <x v="4"/>
    <x v="14"/>
    <s v="HT016"/>
    <s v="F"/>
    <s v="("/>
    <s v=""/>
    <x v="11"/>
    <s v="NÖÔÙC GIAËT HÖÔNG THAÛO MOÄC DD COOP SELECT 2,5L/04TUI"/>
    <n v="20"/>
    <s v="00674454"/>
    <s v="51C 36017"/>
    <n v="43483"/>
    <n v="869660"/>
    <n v="0"/>
    <n v="0"/>
    <n v="0"/>
    <s v="111"/>
    <s v="2022-09/04196"/>
    <s v="NGC20"/>
    <s v="02216403"/>
    <s v="02216402"/>
    <s v="Haøng khuyeán maïi"/>
    <n v="52"/>
    <n v="5"/>
    <b v="0"/>
    <s v=""/>
    <s v="CK"/>
    <s v=""/>
    <s v="0541"/>
    <s v=""/>
    <b v="0"/>
    <s v="CT10107"/>
    <s v=""/>
    <b v="0"/>
    <s v=""/>
    <s v=""/>
    <s v=""/>
    <n v="0"/>
    <s v=""/>
    <s v="4 TUÙI/THUØNG"/>
    <s v=""/>
    <s v="00241936"/>
    <s v="DG026210"/>
    <s v="CHI NHAÙNH BÌNH DÖÔNG GIAO HAØNG SAØI GOØN CO-OP SOÙNG THAÀN"/>
    <s v=""/>
    <s v="TRUNG TAÂM PHAÂN PHOÁI SAIGON CO.OP"/>
    <s v=""/>
    <x v="0"/>
  </r>
  <r>
    <s v="CO125"/>
    <x v="4"/>
    <x v="15"/>
    <s v="HT016"/>
    <s v="F"/>
    <s v="E"/>
    <s v=""/>
    <x v="12"/>
    <s v="BOÄT GIAËT LIXE HÖÔNG NÖÔÙC HOA 5,5KG/03"/>
    <n v="600"/>
    <s v="00674455"/>
    <s v="51C 36017"/>
    <n v="105700"/>
    <n v="63420000"/>
    <n v="0"/>
    <n v="0"/>
    <n v="0.1"/>
    <s v=""/>
    <s v="2022-09/04110"/>
    <s v=""/>
    <s v="02216404"/>
    <s v=""/>
    <s v=""/>
    <n v="3300"/>
    <n v="200"/>
    <b v="0"/>
    <s v=""/>
    <s v="CK"/>
    <s v=""/>
    <s v="0541"/>
    <s v=""/>
    <b v="0"/>
    <s v="CT10100"/>
    <s v=""/>
    <b v="0"/>
    <s v=""/>
    <s v=""/>
    <s v=""/>
    <n v="0"/>
    <s v=""/>
    <s v="3 GOÙI/THUØNG"/>
    <s v=""/>
    <s v="00241821"/>
    <s v="DG026210"/>
    <s v="CHI NHAÙNH BÌNH DÖÔNG GIAO HAØNG SAØI GOØN CO-OP SOÙNG THAÀN"/>
    <s v=""/>
    <s v="TRUNG TAÂM PHAÂN PHOÁI SAIGON CO.OP"/>
    <s v=""/>
    <x v="5"/>
  </r>
  <r>
    <s v="CO125"/>
    <x v="5"/>
    <x v="16"/>
    <s v="HT016"/>
    <s v="F"/>
    <s v="1"/>
    <s v=""/>
    <x v="13"/>
    <s v="NÖÔÙC LAU SAØN BAÏC HAØ COOP SELECT 4L/C04"/>
    <n v="640"/>
    <s v="00674456"/>
    <s v="51C 36017"/>
    <n v="56502"/>
    <n v="36161280"/>
    <n v="0"/>
    <n v="0"/>
    <n v="0.1"/>
    <s v=""/>
    <s v="2022-09/04196"/>
    <s v=""/>
    <s v="02216405"/>
    <s v=""/>
    <s v=""/>
    <n v="2534.4"/>
    <n v="160"/>
    <b v="0"/>
    <s v=""/>
    <s v="CK"/>
    <s v=""/>
    <s v="0541"/>
    <s v=""/>
    <b v="0"/>
    <s v="CT10107"/>
    <s v=""/>
    <b v="0"/>
    <s v=""/>
    <s v=""/>
    <s v=""/>
    <n v="0"/>
    <s v=""/>
    <s v="4 CAN/THUØNG"/>
    <s v=""/>
    <s v="00241936"/>
    <s v="DG026210"/>
    <s v="CHI NHAÙNH BÌNH DÖÔNG GIAO HAØNG SAØI GOØN CO-OP SOÙNG THAÀN"/>
    <s v=""/>
    <s v="TRUNG TAÂM PHAÂN PHOÁI SAIGON CO.OP"/>
    <s v=""/>
    <x v="0"/>
  </r>
  <r>
    <s v="CO125"/>
    <x v="5"/>
    <x v="17"/>
    <s v="HT016"/>
    <s v="F"/>
    <s v="("/>
    <s v=""/>
    <x v="13"/>
    <s v="NÖÔÙC LAU SAØN BAÏC HAØ COOP SELECT 4L/C04"/>
    <n v="160"/>
    <s v="00674457"/>
    <s v="51C 36017"/>
    <n v="31963"/>
    <n v="5114080"/>
    <n v="0"/>
    <n v="0"/>
    <n v="0"/>
    <s v=""/>
    <s v="2022-09/04196"/>
    <s v="NC044"/>
    <s v="02216406"/>
    <s v="02216405"/>
    <s v="Haøng khuyeán maïi"/>
    <n v="633.6"/>
    <n v="40"/>
    <b v="0"/>
    <s v=""/>
    <s v="CK"/>
    <s v=""/>
    <s v="0541"/>
    <s v=""/>
    <b v="0"/>
    <s v="CT10107"/>
    <s v=""/>
    <b v="0"/>
    <s v=""/>
    <s v=""/>
    <s v=""/>
    <n v="0"/>
    <s v=""/>
    <s v="4 CAN/THUØNG"/>
    <s v=""/>
    <s v="00241936"/>
    <s v="DG026210"/>
    <s v="CHI NHAÙNH BÌNH DÖÔNG GIAO HAØNG SAØI GOØN CO-OP SOÙNG THAÀN"/>
    <s v=""/>
    <s v="TRUNG TAÂM PHAÂN PHOÁI SAIGON CO.OP"/>
    <s v=""/>
    <x v="0"/>
  </r>
  <r>
    <s v="CO125"/>
    <x v="5"/>
    <x v="18"/>
    <s v="HT016"/>
    <s v="F"/>
    <s v="E"/>
    <s v=""/>
    <x v="14"/>
    <s v="GEL TAÅY BOÀN CAÀU &amp; NHAØ TAÉM ON1 900G/CH12"/>
    <n v="528"/>
    <s v="00674458"/>
    <s v="51C 36017"/>
    <n v="20865"/>
    <n v="11016720"/>
    <n v="0"/>
    <n v="0"/>
    <n v="0.1"/>
    <s v=""/>
    <s v="2022-09/04224"/>
    <s v=""/>
    <s v="02216407"/>
    <s v=""/>
    <s v=""/>
    <n v="475.2"/>
    <n v="44"/>
    <b v="0"/>
    <s v=""/>
    <s v="CK"/>
    <s v=""/>
    <s v="0541"/>
    <s v=""/>
    <b v="0"/>
    <s v="CT10107"/>
    <s v=""/>
    <b v="0"/>
    <s v=""/>
    <s v=""/>
    <s v=""/>
    <n v="0"/>
    <s v=""/>
    <s v="12 CHAI/THUØNG"/>
    <s v=""/>
    <s v="00241970"/>
    <s v="DG026210"/>
    <s v="CHI NHAÙNH BÌNH DÖÔNG GIAO HAØNG SAØI GOØN CO-OP SOÙNG THAÀN"/>
    <s v=""/>
    <s v="TRUNG TAÂM PHAÂN PHOÁI SAIGON CO.OP"/>
    <s v=""/>
    <x v="1"/>
  </r>
  <r>
    <s v="CO125"/>
    <x v="5"/>
    <x v="18"/>
    <s v="HT016"/>
    <s v="F"/>
    <s v="E"/>
    <s v=""/>
    <x v="15"/>
    <s v="NÖÔÙC GIAËT LIX HÖÔNG NÖÔÙC HOA 3,6KG/C04"/>
    <n v="360"/>
    <s v="00674458"/>
    <s v="51C 36017"/>
    <n v="83719"/>
    <n v="30138840"/>
    <n v="0"/>
    <n v="0"/>
    <n v="0.1"/>
    <s v=""/>
    <s v="2022-09/04224"/>
    <s v=""/>
    <s v="02216408"/>
    <s v=""/>
    <s v=""/>
    <n v="1296"/>
    <n v="90"/>
    <b v="0"/>
    <s v=""/>
    <s v="CK"/>
    <s v=""/>
    <s v="0541"/>
    <s v=""/>
    <b v="0"/>
    <s v="CT10107"/>
    <s v=""/>
    <b v="0"/>
    <s v=""/>
    <s v=""/>
    <s v=""/>
    <n v="0"/>
    <s v=""/>
    <s v="4 CAN/THUØNG"/>
    <s v=""/>
    <s v="00241970"/>
    <s v="DG026210"/>
    <s v="CHI NHAÙNH BÌNH DÖÔNG GIAO HAØNG SAØI GOØN CO-OP SOÙNG THAÀN"/>
    <s v=""/>
    <s v="TRUNG TAÂM PHAÂN PHOÁI SAIGON CO.OP"/>
    <s v=""/>
    <x v="1"/>
  </r>
  <r>
    <s v="CO125"/>
    <x v="5"/>
    <x v="18"/>
    <s v="HT016"/>
    <s v="F"/>
    <s v="E"/>
    <s v=""/>
    <x v="16"/>
    <s v="NÖÔÙC RÖÛA CHEÙN SIEÂU SAÏCH TRAØ 3,5KG/T04 (TUÙI)"/>
    <n v="600"/>
    <s v="00674458"/>
    <s v="51C 36017"/>
    <n v="60650"/>
    <n v="36390000"/>
    <n v="0"/>
    <n v="0"/>
    <n v="0.1"/>
    <s v=""/>
    <s v="2022-09/04224"/>
    <s v=""/>
    <s v="02216409"/>
    <s v=""/>
    <s v=""/>
    <n v="2100"/>
    <n v="150"/>
    <b v="0"/>
    <s v=""/>
    <s v="CK"/>
    <s v=""/>
    <s v="0541"/>
    <s v=""/>
    <b v="0"/>
    <s v="CT10107"/>
    <s v=""/>
    <b v="0"/>
    <s v=""/>
    <s v=""/>
    <s v=""/>
    <n v="0"/>
    <s v=""/>
    <s v="4 TUÙI/THUØNG"/>
    <s v=""/>
    <s v="00241970"/>
    <s v="DG026210"/>
    <s v="CHI NHAÙNH BÌNH DÖÔNG GIAO HAØNG SAØI GOØN CO-OP SOÙNG THAÀN"/>
    <s v=""/>
    <s v="TRUNG TAÂM PHAÂN PHOÁI SAIGON CO.OP"/>
    <s v=""/>
    <x v="1"/>
  </r>
  <r>
    <s v="CO125"/>
    <x v="6"/>
    <x v="19"/>
    <s v="HT016"/>
    <s v="F"/>
    <s v="1"/>
    <s v=""/>
    <x v="17"/>
    <s v="NÖÔÙC GIAËT HÖÔNG THAÛO MOÄC CÖÛA TRÖÔÙC COOP SELECT 2.5L/04TUI"/>
    <n v="108"/>
    <s v="00674459"/>
    <s v="51C 36017"/>
    <n v="65719"/>
    <n v="7097652"/>
    <n v="0"/>
    <n v="0"/>
    <n v="0.1"/>
    <s v=""/>
    <s v="2022-09/04196"/>
    <s v=""/>
    <s v="02216410"/>
    <s v=""/>
    <s v=""/>
    <n v="278.10000000000002"/>
    <n v="27"/>
    <b v="0"/>
    <s v=""/>
    <s v="CK"/>
    <s v=""/>
    <s v="0541"/>
    <s v=""/>
    <b v="0"/>
    <s v="CT10107"/>
    <s v=""/>
    <b v="0"/>
    <s v=""/>
    <s v=""/>
    <s v=""/>
    <n v="0"/>
    <s v=""/>
    <s v="4 TUÙI/THUØNG"/>
    <s v=""/>
    <s v="00241936"/>
    <s v="DG026210"/>
    <s v="CHI NHAÙNH BÌNH DÖÔNG GIAO HAØNG SAØI GOØN CO-OP SOÙNG THAÀN"/>
    <s v=""/>
    <s v="TRUNG TAÂM PHAÂN PHOÁI SAIGON CO.OP"/>
    <s v=""/>
    <x v="0"/>
  </r>
  <r>
    <s v="CO125"/>
    <x v="6"/>
    <x v="20"/>
    <s v="HT016"/>
    <s v="F"/>
    <s v="("/>
    <s v=""/>
    <x v="17"/>
    <s v="NÖÔÙC GIAËT HÖÔNG THAÛO MOÄC CÖÛA TRÖÔÙC COOP SELECT 2.5L/04TUI"/>
    <n v="12"/>
    <s v="00674460"/>
    <s v="51C 36017"/>
    <n v="46012"/>
    <n v="552144"/>
    <n v="0"/>
    <n v="0"/>
    <n v="0"/>
    <s v=""/>
    <s v="2022-09/04196"/>
    <s v="NGC17"/>
    <s v="02216411"/>
    <s v="02216410"/>
    <s v="Haøng khuyeán maïi"/>
    <n v="30.9"/>
    <n v="3"/>
    <b v="0"/>
    <s v=""/>
    <s v="CK"/>
    <s v=""/>
    <s v="0541"/>
    <s v=""/>
    <b v="0"/>
    <s v="CT10107"/>
    <s v=""/>
    <b v="0"/>
    <s v=""/>
    <s v=""/>
    <s v=""/>
    <n v="0"/>
    <s v=""/>
    <s v="4 TUÙI/THUØNG"/>
    <s v=""/>
    <s v="00241936"/>
    <s v="DG026210"/>
    <s v="CHI NHAÙNH BÌNH DÖÔNG GIAO HAØNG SAØI GOØN CO-OP SOÙNG THAÀN"/>
    <s v=""/>
    <s v="TRUNG TAÂM PHAÂN PHOÁI SAIGON CO.OP"/>
    <s v=""/>
    <x v="0"/>
  </r>
  <r>
    <s v="CO125"/>
    <x v="6"/>
    <x v="21"/>
    <s v="HT016"/>
    <s v="F"/>
    <s v="1"/>
    <s v=""/>
    <x v="18"/>
    <s v="NÖÔÙC GIAËT HÖÔNG THAÛO MOÄC CÖÛA TRÖÔÙC COOP SELECT 4L/C04"/>
    <n v="120"/>
    <s v="00674461"/>
    <s v="51C 36017"/>
    <n v="110217"/>
    <n v="13226040"/>
    <n v="0"/>
    <n v="0"/>
    <n v="0.1"/>
    <s v=""/>
    <s v="2022-09/04198"/>
    <s v=""/>
    <s v="02216412"/>
    <s v=""/>
    <s v=""/>
    <n v="494.4"/>
    <n v="30"/>
    <b v="0"/>
    <s v=""/>
    <s v="CK"/>
    <s v=""/>
    <s v="0541"/>
    <s v=""/>
    <b v="0"/>
    <s v="CT10100"/>
    <s v=""/>
    <b v="0"/>
    <s v=""/>
    <s v=""/>
    <s v=""/>
    <n v="0"/>
    <s v=""/>
    <s v="4 CAN/THUØNG"/>
    <s v=""/>
    <s v="00241938"/>
    <s v="DG026210"/>
    <s v="CHI NHAÙNH BÌNH DÖÔNG GIAO HAØNG SAØI GOØN CO-OP SOÙNG THAÀN"/>
    <s v=""/>
    <s v="TRUNG TAÂM PHAÂN PHOÁI SAIGON CO.OP"/>
    <s v=""/>
    <x v="0"/>
  </r>
  <r>
    <s v="CO125"/>
    <x v="6"/>
    <x v="22"/>
    <s v="HT016"/>
    <s v="F"/>
    <s v="("/>
    <s v=""/>
    <x v="18"/>
    <s v="NÖÔÙC GIAËT HÖÔNG THAÛO MOÄC CÖÛA TRÖÔÙC COOP SELECT 4L/C04"/>
    <n v="8"/>
    <s v="00674462"/>
    <s v="51C 36017"/>
    <n v="76224"/>
    <n v="609792"/>
    <n v="0"/>
    <n v="0"/>
    <n v="0"/>
    <s v="111"/>
    <s v="2022-09/04198"/>
    <s v="NGC18"/>
    <s v="02216413"/>
    <s v="02216412"/>
    <s v="Haøng khuyeán maïi"/>
    <n v="32.96"/>
    <n v="2"/>
    <b v="0"/>
    <s v=""/>
    <s v="CK"/>
    <s v=""/>
    <s v="0541"/>
    <s v=""/>
    <b v="0"/>
    <s v="CT10100"/>
    <s v=""/>
    <b v="0"/>
    <s v=""/>
    <s v=""/>
    <s v=""/>
    <n v="0"/>
    <s v=""/>
    <s v="4 CAN/THUØNG"/>
    <s v=""/>
    <s v="00241938"/>
    <s v="DG026210"/>
    <s v="CHI NHAÙNH BÌNH DÖÔNG GIAO HAØNG SAØI GOØN CO-OP SOÙNG THAÀN"/>
    <s v=""/>
    <s v="TRUNG TAÂM PHAÂN PHOÁI SAIGON CO.OP"/>
    <s v=""/>
    <x v="0"/>
  </r>
  <r>
    <s v="CO125"/>
    <x v="6"/>
    <x v="23"/>
    <s v="HT016"/>
    <s v="F"/>
    <s v="1"/>
    <s v=""/>
    <x v="19"/>
    <s v="NÖÔÙC TAÅY QUAÀN AÙO COOP SELECT 1KG/C12"/>
    <n v="2400"/>
    <s v="00674463"/>
    <s v="51C 36017"/>
    <n v="11659"/>
    <n v="27981600"/>
    <n v="0"/>
    <n v="0"/>
    <n v="0.1"/>
    <s v=""/>
    <s v="2022-09/04199"/>
    <s v=""/>
    <s v="02216414"/>
    <s v=""/>
    <s v=""/>
    <n v="2400"/>
    <n v="200"/>
    <b v="0"/>
    <s v=""/>
    <s v="CK"/>
    <s v=""/>
    <s v="0541"/>
    <s v=""/>
    <b v="0"/>
    <s v="CT10107"/>
    <s v=""/>
    <b v="0"/>
    <s v=""/>
    <s v=""/>
    <s v=""/>
    <n v="0"/>
    <s v=""/>
    <s v="12 CHAI/THUØNG"/>
    <s v=""/>
    <s v="00241939"/>
    <s v="DG026210"/>
    <s v="CHI NHAÙNH BÌNH DÖÔNG GIAO HAØNG SAØI GOØN CO-OP SOÙNG THAÀN"/>
    <s v=""/>
    <s v="TRUNG TAÂM PHAÂN PHOÁI SAIGON CO.OP"/>
    <s v=""/>
    <x v="3"/>
  </r>
  <r>
    <s v="CO125"/>
    <x v="6"/>
    <x v="23"/>
    <s v="HT016"/>
    <s v="F"/>
    <s v="1"/>
    <s v=""/>
    <x v="20"/>
    <s v="NÖÔÙC RÖÛA CHEÙN HÖÔNG CHANH COOP SELECT 800ML/12TUI"/>
    <n v="3360"/>
    <s v="00674463"/>
    <s v="51C 36017"/>
    <n v="11904"/>
    <n v="39997440"/>
    <n v="0"/>
    <n v="0"/>
    <n v="0.1"/>
    <s v=""/>
    <s v="2022-09/04199"/>
    <s v=""/>
    <s v="02216415"/>
    <s v=""/>
    <s v=""/>
    <n v="2741.76"/>
    <n v="280"/>
    <b v="0"/>
    <s v=""/>
    <s v="CK"/>
    <s v=""/>
    <s v="0541"/>
    <s v=""/>
    <b v="0"/>
    <s v="CT10107"/>
    <s v=""/>
    <b v="0"/>
    <s v=""/>
    <s v=""/>
    <s v=""/>
    <n v="0"/>
    <s v=""/>
    <s v="12 TUÙI/THUØNG"/>
    <s v=""/>
    <s v="00241939"/>
    <s v="DG026210"/>
    <s v="CHI NHAÙNH BÌNH DÖÔNG GIAO HAØNG SAØI GOØN CO-OP SOÙNG THAÀN"/>
    <s v=""/>
    <s v="TRUNG TAÂM PHAÂN PHOÁI SAIGON CO.OP"/>
    <s v=""/>
    <x v="3"/>
  </r>
  <r>
    <s v="CO125"/>
    <x v="6"/>
    <x v="24"/>
    <s v="HT016"/>
    <s v="F"/>
    <s v="E"/>
    <s v=""/>
    <x v="21"/>
    <s v="NÖÔÙC RÖÛA CHEÙN ON1 TINH DAÀU GÖØNG SAÛ 1KG/CH12"/>
    <n v="1056"/>
    <s v="00674480"/>
    <s v="51C 36017"/>
    <n v="25680"/>
    <n v="27118080"/>
    <n v="0"/>
    <n v="0"/>
    <n v="0.1"/>
    <s v=""/>
    <s v="2022-09/04224"/>
    <s v=""/>
    <s v="02216478"/>
    <s v=""/>
    <s v=""/>
    <n v="1056"/>
    <n v="88"/>
    <b v="0"/>
    <s v=""/>
    <s v="CK"/>
    <s v=""/>
    <s v="0541"/>
    <s v=""/>
    <b v="0"/>
    <s v="CT10107"/>
    <s v=""/>
    <b v="0"/>
    <s v=""/>
    <s v=""/>
    <s v=""/>
    <n v="0"/>
    <s v=""/>
    <s v="12 CHAI/THUØNG"/>
    <s v=""/>
    <s v="00241970"/>
    <s v="DG026210"/>
    <s v="CHI NHAÙNH BÌNH DÖÔNG GIAO HAØNG SAØI GOØN CO-OP SOÙNG THAÀN"/>
    <s v=""/>
    <s v="TRUNG TAÂM PHAÂN PHOÁI SAIGON CO.OP"/>
    <s v=""/>
    <x v="1"/>
  </r>
  <r>
    <s v="CO125"/>
    <x v="7"/>
    <x v="25"/>
    <s v="HT016"/>
    <s v="F"/>
    <s v="E"/>
    <s v=""/>
    <x v="15"/>
    <s v="NÖÔÙC GIAËT LIX HÖÔNG NÖÔÙC HOA 3,6KG/C04"/>
    <n v="600"/>
    <s v="00674464"/>
    <s v="51C 36017"/>
    <n v="83719"/>
    <n v="50231400"/>
    <n v="0"/>
    <n v="0"/>
    <n v="0.1"/>
    <s v=""/>
    <s v="2022-09/04224"/>
    <s v=""/>
    <s v="02216416"/>
    <s v=""/>
    <s v=""/>
    <n v="2160"/>
    <n v="150"/>
    <b v="0"/>
    <s v=""/>
    <s v="CK"/>
    <s v=""/>
    <s v="0541"/>
    <s v=""/>
    <b v="0"/>
    <s v="CT10107"/>
    <s v=""/>
    <b v="0"/>
    <s v=""/>
    <s v=""/>
    <s v=""/>
    <n v="0"/>
    <s v=""/>
    <s v="4 CAN/THUØNG"/>
    <s v=""/>
    <s v="00241970"/>
    <s v="DG026210"/>
    <s v="CHI NHAÙNH BÌNH DÖÔNG GIAO HAØNG SAØI GOØN CO-OP SOÙNG THAÀN"/>
    <s v=""/>
    <s v="TRUNG TAÂM PHAÂN PHOÁI SAIGON CO.OP"/>
    <s v=""/>
    <x v="1"/>
  </r>
  <r>
    <s v="CO125"/>
    <x v="7"/>
    <x v="25"/>
    <s v="HT016"/>
    <s v="F"/>
    <s v="E"/>
    <s v=""/>
    <x v="22"/>
    <s v="NÖÔÙC GIAËT LIX MATIC HÖÔNG NÖÔÙC HOA (NEW) 3,6KG/C04"/>
    <n v="1200"/>
    <s v="00674464"/>
    <s v="51C 36017"/>
    <n v="96048"/>
    <n v="115257600"/>
    <n v="0"/>
    <n v="0"/>
    <n v="0.1"/>
    <s v=""/>
    <s v="2022-09/04224"/>
    <s v=""/>
    <s v="02216417"/>
    <s v=""/>
    <s v=""/>
    <n v="4320"/>
    <n v="300"/>
    <b v="0"/>
    <s v=""/>
    <s v="CK"/>
    <s v=""/>
    <s v="0541"/>
    <s v=""/>
    <b v="0"/>
    <s v="CT10107"/>
    <s v=""/>
    <b v="0"/>
    <s v=""/>
    <s v=""/>
    <s v=""/>
    <n v="0"/>
    <s v=""/>
    <s v="4 CAN/THUØNG"/>
    <s v=""/>
    <s v="00241970"/>
    <s v="DG026210"/>
    <s v="CHI NHAÙNH BÌNH DÖÔNG GIAO HAØNG SAØI GOØN CO-OP SOÙNG THAÀN"/>
    <s v=""/>
    <s v="TRUNG TAÂM PHAÂN PHOÁI SAIGON CO.OP"/>
    <s v=""/>
    <x v="1"/>
  </r>
  <r>
    <s v="CO125"/>
    <x v="8"/>
    <x v="26"/>
    <s v="HT016"/>
    <s v="F"/>
    <s v="E"/>
    <s v=""/>
    <x v="23"/>
    <s v="NÖÔÙC TAÅY JAVEL LIX 1KG/CH12"/>
    <n v="864"/>
    <s v="00674465"/>
    <s v="51C 36017"/>
    <n v="16580"/>
    <n v="14325120"/>
    <n v="0"/>
    <n v="0"/>
    <n v="0.1"/>
    <s v=""/>
    <s v="2022-09/04224"/>
    <s v=""/>
    <s v="02216418"/>
    <s v=""/>
    <s v=""/>
    <n v="864"/>
    <n v="72"/>
    <b v="0"/>
    <s v=""/>
    <s v="CK"/>
    <s v=""/>
    <s v="0541"/>
    <s v=""/>
    <b v="0"/>
    <s v="CT10107"/>
    <s v=""/>
    <b v="0"/>
    <s v=""/>
    <s v=""/>
    <s v=""/>
    <n v="0"/>
    <s v=""/>
    <s v="12 CHAI/THUNG"/>
    <s v=""/>
    <s v="00241970"/>
    <s v="DG026210"/>
    <s v="CHI NHAÙNH BÌNH DÖÔNG GIAO HAØNG SAØI GOØN CO-OP SOÙNG THAÀN"/>
    <s v=""/>
    <s v="TRUNG TAÂM PHAÂN PHOÁI SAIGON CO.OP"/>
    <s v=""/>
    <x v="1"/>
  </r>
  <r>
    <s v="CO125"/>
    <x v="8"/>
    <x v="27"/>
    <s v="HT016"/>
    <s v="F"/>
    <s v="1"/>
    <s v=""/>
    <x v="24"/>
    <s v="NÖÔÙC RÖÛA CHEÙN HÖÔNG CHANH COOP SELECT 1,8L/C08"/>
    <n v="720"/>
    <s v="00674466"/>
    <s v="51C 36017"/>
    <n v="27663"/>
    <n v="19917360"/>
    <n v="0"/>
    <n v="0"/>
    <n v="0.1"/>
    <s v=""/>
    <s v="2022-09/04199"/>
    <s v=""/>
    <s v="02216419"/>
    <s v=""/>
    <s v=""/>
    <n v="1321.92"/>
    <n v="90"/>
    <b v="0"/>
    <s v=""/>
    <s v="CK"/>
    <s v=""/>
    <s v="0541"/>
    <s v=""/>
    <b v="0"/>
    <s v="CT10107"/>
    <s v=""/>
    <b v="0"/>
    <s v=""/>
    <s v=""/>
    <s v=""/>
    <n v="0"/>
    <s v=""/>
    <s v="8 CAN/THUØNG"/>
    <s v=""/>
    <s v="00241939"/>
    <s v="DG026210"/>
    <s v="CHI NHAÙNH BÌNH DÖÔNG GIAO HAØNG SAØI GOØN CO-OP SOÙNG THAÀN"/>
    <s v=""/>
    <s v="TRUNG TAÂM PHAÂN PHOÁI SAIGON CO.OP"/>
    <s v=""/>
    <x v="3"/>
  </r>
  <r>
    <s v="CO125"/>
    <x v="8"/>
    <x v="27"/>
    <s v="HT016"/>
    <s v="F"/>
    <s v="1"/>
    <s v=""/>
    <x v="25"/>
    <s v="NÖÔÙC RÖÛA CHEÙN TRAØ XANH COOP SELECT 1,8L/C8"/>
    <n v="720"/>
    <s v="00674466"/>
    <s v="51C 36017"/>
    <n v="27663"/>
    <n v="19917360"/>
    <n v="0"/>
    <n v="0"/>
    <n v="0.1"/>
    <s v=""/>
    <s v="2022-09/04199"/>
    <s v=""/>
    <s v="02216420"/>
    <s v=""/>
    <s v=""/>
    <n v="1321.92"/>
    <n v="90"/>
    <b v="0"/>
    <s v=""/>
    <s v="CK"/>
    <s v=""/>
    <s v="0541"/>
    <s v=""/>
    <b v="0"/>
    <s v="CT10107"/>
    <s v=""/>
    <b v="0"/>
    <s v=""/>
    <s v=""/>
    <s v=""/>
    <n v="0"/>
    <s v=""/>
    <s v="8 CAN/THUØNG"/>
    <s v=""/>
    <s v="00241939"/>
    <s v="DG026210"/>
    <s v="CHI NHAÙNH BÌNH DÖÔNG GIAO HAØNG SAØI GOØN CO-OP SOÙNG THAÀN"/>
    <s v=""/>
    <s v="TRUNG TAÂM PHAÂN PHOÁI SAIGON CO.OP"/>
    <s v=""/>
    <x v="3"/>
  </r>
  <r>
    <s v="CO125"/>
    <x v="8"/>
    <x v="27"/>
    <s v="HT016"/>
    <s v="F"/>
    <s v="1"/>
    <s v=""/>
    <x v="26"/>
    <s v="NÖÔÙC TAÅY TOILET COOP SELECT 500ML/C24"/>
    <n v="1728"/>
    <s v="00674466"/>
    <s v="51C 36017"/>
    <n v="10619"/>
    <n v="18349632"/>
    <n v="0"/>
    <n v="0"/>
    <n v="0.1"/>
    <s v=""/>
    <s v="2022-09/04199"/>
    <s v=""/>
    <s v="02216421"/>
    <s v=""/>
    <s v=""/>
    <n v="915.84"/>
    <n v="72"/>
    <b v="0"/>
    <s v=""/>
    <s v="CK"/>
    <s v=""/>
    <s v="0541"/>
    <s v=""/>
    <b v="0"/>
    <s v="CT10107"/>
    <s v=""/>
    <b v="0"/>
    <s v=""/>
    <s v=""/>
    <s v=""/>
    <n v="0"/>
    <s v=""/>
    <s v="24 CHAI/THUØNG"/>
    <s v=""/>
    <s v="00241939"/>
    <s v="DG026210"/>
    <s v="CHI NHAÙNH BÌNH DÖÔNG GIAO HAØNG SAØI GOØN CO-OP SOÙNG THAÀN"/>
    <s v=""/>
    <s v="TRUNG TAÂM PHAÂN PHOÁI SAIGON CO.OP"/>
    <s v=""/>
    <x v="3"/>
  </r>
  <r>
    <s v="CO125"/>
    <x v="8"/>
    <x v="27"/>
    <s v="HT016"/>
    <s v="F"/>
    <s v="1"/>
    <s v=""/>
    <x v="27"/>
    <s v="NÖÔÙC RÖÛA CHEÙN HÖÔNG TAÙO COOP SELECT 1,8/C8"/>
    <n v="1080"/>
    <s v="00674466"/>
    <s v="51C 36017"/>
    <n v="27663"/>
    <n v="29876040"/>
    <n v="0"/>
    <n v="0"/>
    <n v="0.1"/>
    <s v=""/>
    <s v="2022-09/04199"/>
    <s v=""/>
    <s v="02216422"/>
    <s v=""/>
    <s v=""/>
    <n v="1982.88"/>
    <n v="135"/>
    <b v="0"/>
    <s v=""/>
    <s v="CK"/>
    <s v=""/>
    <s v="0541"/>
    <s v=""/>
    <b v="0"/>
    <s v="CT10107"/>
    <s v=""/>
    <b v="0"/>
    <s v=""/>
    <s v=""/>
    <s v=""/>
    <n v="0"/>
    <s v=""/>
    <s v="8 CAN/THUØNG"/>
    <s v=""/>
    <s v="00241939"/>
    <s v="DG026210"/>
    <s v="CHI NHAÙNH BÌNH DÖÔNG GIAO HAØNG SAØI GOØN CO-OP SOÙNG THAÀN"/>
    <s v=""/>
    <s v="TRUNG TAÂM PHAÂN PHOÁI SAIGON CO.OP"/>
    <s v=""/>
    <x v="3"/>
  </r>
  <r>
    <s v="CO125"/>
    <x v="8"/>
    <x v="28"/>
    <s v="HT016"/>
    <s v="F"/>
    <s v="E"/>
    <s v=""/>
    <x v="15"/>
    <s v="NÖÔÙC GIAËT LIX HÖÔNG NÖÔÙC HOA 3,6KG/C04"/>
    <n v="240"/>
    <s v="00674481"/>
    <s v="51C 36017"/>
    <n v="83719"/>
    <n v="20092560"/>
    <n v="0"/>
    <n v="0"/>
    <n v="0.1"/>
    <s v="111"/>
    <s v="2022-09/04224"/>
    <s v=""/>
    <s v="02216479"/>
    <s v=""/>
    <s v=""/>
    <n v="864"/>
    <n v="60"/>
    <b v="0"/>
    <s v=""/>
    <s v="CK"/>
    <s v=""/>
    <s v="0541"/>
    <s v=""/>
    <b v="0"/>
    <s v="CT10107"/>
    <s v=""/>
    <b v="0"/>
    <s v=""/>
    <s v=""/>
    <s v=""/>
    <n v="0"/>
    <s v=""/>
    <s v="4 CAN/THUØNG"/>
    <s v=""/>
    <s v="00241970"/>
    <s v="DG026210"/>
    <s v="CHI NHAÙNH BÌNH DÖÔNG GIAO HAØNG SAØI GOØN CO-OP SOÙNG THAÀN"/>
    <s v=""/>
    <s v="TRUNG TAÂM PHAÂN PHOÁI SAIGON CO.OP"/>
    <s v=""/>
    <x v="1"/>
  </r>
  <r>
    <m/>
    <x v="9"/>
    <x v="29"/>
    <m/>
    <m/>
    <m/>
    <m/>
    <x v="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1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I2:J29" firstHeaderRow="1" firstDataRow="1" firstDataCol="1"/>
  <pivotFields count="64">
    <pivotField showAll="0"/>
    <pivotField showAll="0"/>
    <pivotField showAll="0"/>
    <pivotField showAll="0"/>
    <pivotField showAll="0"/>
    <pivotField showAll="0"/>
    <pivotField showAll="0"/>
    <pivotField axis="axisRow" showAll="0">
      <items count="30">
        <item x="10"/>
        <item x="9"/>
        <item x="12"/>
        <item x="23"/>
        <item x="14"/>
        <item x="4"/>
        <item x="21"/>
        <item x="16"/>
        <item x="13"/>
        <item x="8"/>
        <item x="2"/>
        <item x="7"/>
        <item x="25"/>
        <item x="0"/>
        <item x="24"/>
        <item x="20"/>
        <item x="3"/>
        <item x="17"/>
        <item x="18"/>
        <item x="6"/>
        <item x="11"/>
        <item x="15"/>
        <item x="22"/>
        <item x="5"/>
        <item x="19"/>
        <item x="1"/>
        <item h="1" x="28"/>
        <item h="1" x="26"/>
        <item h="1" x="2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Sum of sothung" fld="24" baseField="7" baseItem="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:B20" firstHeaderRow="1" firstDataRow="1" firstDataCol="1"/>
  <pivotFields count="6">
    <pivotField showAll="0"/>
    <pivotField showAll="0"/>
    <pivotField showAll="0"/>
    <pivotField dataField="1" showAll="0"/>
    <pivotField showAll="0"/>
    <pivotField axis="axisRow" showAll="0" defaultSubtotal="0">
      <items count="55">
        <item h="1" x="40"/>
        <item x="0"/>
        <item m="1" x="54"/>
        <item x="1"/>
        <item m="1" x="43"/>
        <item x="2"/>
        <item m="1" x="53"/>
        <item m="1" x="45"/>
        <item m="1" x="49"/>
        <item m="1" x="44"/>
        <item x="39"/>
        <item m="1" x="41"/>
        <item m="1" x="48"/>
        <item m="1" x="50"/>
        <item m="1" x="46"/>
        <item m="1" x="52"/>
        <item m="1" x="47"/>
        <item m="1" x="42"/>
        <item m="1" x="5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</items>
    </pivotField>
  </pivotFields>
  <rowFields count="1">
    <field x="5"/>
  </rowFields>
  <rowItems count="18">
    <i>
      <x v="1"/>
    </i>
    <i>
      <x v="3"/>
    </i>
    <i>
      <x v="5"/>
    </i>
    <i>
      <x v="10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Sum of PHẢN HỒI" fld="3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11" cacheId="2" applyNumberFormats="0" applyBorderFormats="0" applyFontFormats="0" applyPatternFormats="0" applyAlignmentFormats="0" applyWidthHeightFormats="1" dataCaption="Values" updatedVersion="6" minRefreshableVersion="3" showDrill="0" useAutoFormatting="1" itemPrintTitles="1" createdVersion="6" indent="0" outline="1" outlineData="1" multipleFieldFilters="0" rowHeaderCaption="Kiểm Lại SL">
  <location ref="C3:E47" firstHeaderRow="0" firstDataRow="1" firstDataCol="1"/>
  <pivotFields count="49">
    <pivotField showAll="0"/>
    <pivotField axis="axisRow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showAll="0"/>
    <pivotField showAll="0"/>
    <pivotField showAll="0"/>
    <pivotField showAll="0"/>
    <pivotField showAll="0"/>
    <pivotField axis="axisRow" showAll="0">
      <items count="30">
        <item x="10"/>
        <item x="9"/>
        <item x="12"/>
        <item x="23"/>
        <item x="14"/>
        <item x="4"/>
        <item x="21"/>
        <item x="16"/>
        <item x="13"/>
        <item x="8"/>
        <item x="2"/>
        <item x="7"/>
        <item x="25"/>
        <item x="0"/>
        <item x="24"/>
        <item x="20"/>
        <item x="3"/>
        <item x="17"/>
        <item x="18"/>
        <item x="6"/>
        <item x="11"/>
        <item x="15"/>
        <item x="22"/>
        <item x="5"/>
        <item x="19"/>
        <item x="1"/>
        <item x="28"/>
        <item x="26"/>
        <item x="2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7"/>
  </rowFields>
  <rowItems count="44">
    <i>
      <x/>
    </i>
    <i r="1">
      <x v="10"/>
    </i>
    <i r="1">
      <x v="13"/>
    </i>
    <i r="1">
      <x v="25"/>
    </i>
    <i>
      <x v="1"/>
    </i>
    <i r="1">
      <x v="5"/>
    </i>
    <i r="1">
      <x v="16"/>
    </i>
    <i>
      <x v="2"/>
    </i>
    <i r="1">
      <x v="5"/>
    </i>
    <i r="1">
      <x v="23"/>
    </i>
    <i r="1">
      <x v="25"/>
    </i>
    <i>
      <x v="3"/>
    </i>
    <i r="1">
      <x v="9"/>
    </i>
    <i r="1">
      <x v="11"/>
    </i>
    <i r="1">
      <x v="19"/>
    </i>
    <i>
      <x v="4"/>
    </i>
    <i r="1">
      <x/>
    </i>
    <i r="1">
      <x v="1"/>
    </i>
    <i r="1">
      <x v="2"/>
    </i>
    <i r="1">
      <x v="20"/>
    </i>
    <i>
      <x v="5"/>
    </i>
    <i r="1">
      <x v="4"/>
    </i>
    <i r="1">
      <x v="7"/>
    </i>
    <i r="1">
      <x v="8"/>
    </i>
    <i r="1">
      <x v="21"/>
    </i>
    <i>
      <x v="6"/>
    </i>
    <i r="1">
      <x v="6"/>
    </i>
    <i r="1">
      <x v="15"/>
    </i>
    <i r="1">
      <x v="17"/>
    </i>
    <i r="1">
      <x v="18"/>
    </i>
    <i r="1">
      <x v="24"/>
    </i>
    <i>
      <x v="7"/>
    </i>
    <i r="1">
      <x v="21"/>
    </i>
    <i r="1">
      <x v="22"/>
    </i>
    <i>
      <x v="8"/>
    </i>
    <i r="1">
      <x v="3"/>
    </i>
    <i r="1">
      <x v="12"/>
    </i>
    <i r="1">
      <x v="14"/>
    </i>
    <i r="1">
      <x v="21"/>
    </i>
    <i r="1">
      <x v="27"/>
    </i>
    <i r="1">
      <x v="28"/>
    </i>
    <i>
      <x v="9"/>
    </i>
    <i r="1">
      <x v="2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othung" fld="24" baseField="7" baseItem="25"/>
    <dataField name="Sum of soluong" fld="9" baseField="7" baseItem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10" cacheId="2" applyNumberFormats="0" applyBorderFormats="0" applyFontFormats="0" applyPatternFormats="0" applyAlignmentFormats="0" applyWidthHeightFormats="1" dataCaption="Values" updatedVersion="6" minRefreshableVersion="3" showDrill="0" useAutoFormatting="1" itemPrintTitles="1" createdVersion="6" indent="0" outline="1" outlineData="1" multipleFieldFilters="0" rowHeaderCaption="Đếm SỐ PO">
  <location ref="H3:H11" firstHeaderRow="1" firstDataRow="1" firstDataCol="1"/>
  <pivotFields count="49"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5"/>
        <item x="2"/>
        <item x="4"/>
        <item x="3"/>
        <item x="0"/>
        <item x="1"/>
        <item x="6"/>
        <item t="default"/>
      </items>
    </pivotField>
  </pivotFields>
  <rowFields count="1">
    <field x="4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9" cacheId="2" applyNumberFormats="0" applyBorderFormats="0" applyFontFormats="0" applyPatternFormats="0" applyAlignmentFormats="0" applyWidthHeightFormats="1" dataCaption="Values" updatedVersion="6" minRefreshableVersion="3" showDrill="0" useAutoFormatting="1" itemPrintTitles="1" createdVersion="6" indent="0" outline="1" outlineData="1" multipleFieldFilters="0" rowHeaderCaption="Hóa đơn">
  <location ref="A3:A63" firstHeaderRow="1" firstDataRow="1" firstDataCol="1"/>
  <pivotFields count="49">
    <pivotField showAll="0"/>
    <pivotField axis="axisRow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showAll="0">
      <items count="31">
        <item x="15"/>
        <item x="20"/>
        <item x="13"/>
        <item x="2"/>
        <item x="3"/>
        <item x="4"/>
        <item x="26"/>
        <item x="6"/>
        <item x="9"/>
        <item x="21"/>
        <item x="28"/>
        <item x="23"/>
        <item x="18"/>
        <item x="22"/>
        <item x="5"/>
        <item x="0"/>
        <item x="25"/>
        <item x="1"/>
        <item x="10"/>
        <item x="14"/>
        <item x="16"/>
        <item x="7"/>
        <item x="8"/>
        <item x="17"/>
        <item x="11"/>
        <item x="27"/>
        <item x="19"/>
        <item x="12"/>
        <item x="24"/>
        <item x="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5"/>
        <item x="2"/>
        <item x="4"/>
        <item x="3"/>
        <item x="0"/>
        <item x="1"/>
        <item x="6"/>
        <item t="default"/>
      </items>
    </pivotField>
  </pivotFields>
  <rowFields count="3">
    <field x="1"/>
    <field x="48"/>
    <field x="2"/>
  </rowFields>
  <rowItems count="60">
    <i>
      <x/>
    </i>
    <i r="1">
      <x v="4"/>
    </i>
    <i r="2">
      <x v="15"/>
    </i>
    <i r="2">
      <x v="17"/>
    </i>
    <i>
      <x v="1"/>
    </i>
    <i r="1">
      <x v="5"/>
    </i>
    <i r="2">
      <x v="3"/>
    </i>
    <i>
      <x v="2"/>
    </i>
    <i r="1">
      <x v="4"/>
    </i>
    <i r="2">
      <x v="5"/>
    </i>
    <i r="2">
      <x v="14"/>
    </i>
    <i r="1">
      <x v="5"/>
    </i>
    <i r="2">
      <x v="4"/>
    </i>
    <i>
      <x v="3"/>
    </i>
    <i r="1">
      <x v="1"/>
    </i>
    <i r="2">
      <x v="7"/>
    </i>
    <i r="2">
      <x v="21"/>
    </i>
    <i r="1">
      <x v="3"/>
    </i>
    <i r="2">
      <x v="22"/>
    </i>
    <i r="1">
      <x v="4"/>
    </i>
    <i r="2">
      <x v="8"/>
    </i>
    <i r="2">
      <x v="18"/>
    </i>
    <i>
      <x v="4"/>
    </i>
    <i r="1">
      <x/>
    </i>
    <i r="2">
      <x/>
    </i>
    <i r="1">
      <x v="2"/>
    </i>
    <i r="2">
      <x v="24"/>
    </i>
    <i r="2">
      <x v="27"/>
    </i>
    <i r="1">
      <x v="4"/>
    </i>
    <i r="2">
      <x v="2"/>
    </i>
    <i r="2">
      <x v="19"/>
    </i>
    <i>
      <x v="5"/>
    </i>
    <i r="1">
      <x v="4"/>
    </i>
    <i r="2">
      <x v="20"/>
    </i>
    <i r="2">
      <x v="23"/>
    </i>
    <i r="1">
      <x v="5"/>
    </i>
    <i r="2">
      <x v="12"/>
    </i>
    <i>
      <x v="6"/>
    </i>
    <i r="1">
      <x v="3"/>
    </i>
    <i r="2">
      <x v="11"/>
    </i>
    <i r="1">
      <x v="4"/>
    </i>
    <i r="2">
      <x v="1"/>
    </i>
    <i r="2">
      <x v="9"/>
    </i>
    <i r="2">
      <x v="13"/>
    </i>
    <i r="2">
      <x v="26"/>
    </i>
    <i r="1">
      <x v="5"/>
    </i>
    <i r="2">
      <x v="28"/>
    </i>
    <i>
      <x v="7"/>
    </i>
    <i r="1">
      <x v="5"/>
    </i>
    <i r="2">
      <x v="16"/>
    </i>
    <i>
      <x v="8"/>
    </i>
    <i r="1">
      <x v="3"/>
    </i>
    <i r="2">
      <x v="25"/>
    </i>
    <i r="1">
      <x v="5"/>
    </i>
    <i r="2">
      <x v="6"/>
    </i>
    <i r="2">
      <x v="10"/>
    </i>
    <i>
      <x v="9"/>
    </i>
    <i r="1">
      <x v="6"/>
    </i>
    <i r="2">
      <x v="2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4"/>
  <sheetViews>
    <sheetView tabSelected="1" zoomScale="70" zoomScaleNormal="70" workbookViewId="0">
      <selection activeCell="N5" sqref="N5"/>
    </sheetView>
  </sheetViews>
  <sheetFormatPr defaultColWidth="9.140625" defaultRowHeight="15" x14ac:dyDescent="0.25"/>
  <cols>
    <col min="1" max="1" width="5.28515625" style="6" customWidth="1"/>
    <col min="2" max="2" width="13.42578125" style="5" customWidth="1"/>
    <col min="3" max="3" width="71.7109375" customWidth="1"/>
    <col min="4" max="4" width="20.7109375" style="5" bestFit="1" customWidth="1"/>
    <col min="5" max="5" width="13.7109375" style="5" customWidth="1"/>
    <col min="6" max="6" width="21.85546875" style="5" customWidth="1"/>
    <col min="7" max="7" width="10.85546875" style="24" customWidth="1"/>
    <col min="8" max="8" width="17.85546875" bestFit="1" customWidth="1"/>
    <col min="11" max="11" width="11" bestFit="1" customWidth="1"/>
    <col min="12" max="12" width="9.140625" style="34"/>
  </cols>
  <sheetData>
    <row r="1" spans="1:12" ht="26.25" x14ac:dyDescent="0.4">
      <c r="A1" s="20" t="s">
        <v>0</v>
      </c>
      <c r="B1" s="20"/>
      <c r="C1" s="20"/>
      <c r="D1" s="32" t="s">
        <v>403</v>
      </c>
      <c r="E1" s="2"/>
    </row>
    <row r="2" spans="1:12" ht="30" x14ac:dyDescent="0.25">
      <c r="A2" s="21" t="s">
        <v>4</v>
      </c>
      <c r="B2" s="3" t="s">
        <v>1</v>
      </c>
      <c r="C2" s="3" t="s">
        <v>2</v>
      </c>
      <c r="D2" s="4" t="s">
        <v>5</v>
      </c>
      <c r="E2" s="4" t="s">
        <v>6</v>
      </c>
      <c r="F2" s="3" t="s">
        <v>3</v>
      </c>
      <c r="G2" s="30" t="s">
        <v>390</v>
      </c>
      <c r="H2" s="4" t="s">
        <v>395</v>
      </c>
      <c r="I2" s="4" t="s">
        <v>396</v>
      </c>
      <c r="J2" s="4" t="s">
        <v>397</v>
      </c>
      <c r="K2" s="4" t="s">
        <v>398</v>
      </c>
      <c r="L2" s="35" t="s">
        <v>399</v>
      </c>
    </row>
    <row r="3" spans="1:12" ht="21" customHeight="1" x14ac:dyDescent="0.3">
      <c r="A3" s="27">
        <v>1</v>
      </c>
      <c r="B3" s="28">
        <v>3282513</v>
      </c>
      <c r="C3" s="29" t="s">
        <v>24</v>
      </c>
      <c r="D3" s="28">
        <v>10</v>
      </c>
      <c r="E3" s="28">
        <v>14</v>
      </c>
      <c r="F3" s="31" t="s">
        <v>400</v>
      </c>
      <c r="G3" s="31" t="s">
        <v>401</v>
      </c>
      <c r="H3" s="28">
        <v>788434</v>
      </c>
      <c r="I3" s="28">
        <v>114427</v>
      </c>
      <c r="J3" s="28" t="s">
        <v>404</v>
      </c>
      <c r="K3" s="28">
        <v>1</v>
      </c>
      <c r="L3" s="36" t="s">
        <v>405</v>
      </c>
    </row>
    <row r="4" spans="1:12" ht="16.5" x14ac:dyDescent="0.3">
      <c r="A4" s="27">
        <v>2</v>
      </c>
      <c r="B4" s="29">
        <v>3184824</v>
      </c>
      <c r="C4" s="29" t="s">
        <v>394</v>
      </c>
      <c r="D4" s="29">
        <v>10</v>
      </c>
      <c r="E4" s="29">
        <v>11</v>
      </c>
      <c r="F4" s="31" t="s">
        <v>400</v>
      </c>
      <c r="G4" s="31" t="s">
        <v>402</v>
      </c>
      <c r="H4" s="28">
        <v>788435</v>
      </c>
      <c r="I4" s="28">
        <v>114427</v>
      </c>
      <c r="J4" s="28" t="s">
        <v>404</v>
      </c>
      <c r="K4" s="28">
        <v>1</v>
      </c>
      <c r="L4" s="36" t="s">
        <v>406</v>
      </c>
    </row>
  </sheetData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3"/>
  <sheetViews>
    <sheetView workbookViewId="0">
      <selection activeCell="E4" sqref="E4"/>
    </sheetView>
  </sheetViews>
  <sheetFormatPr defaultColWidth="9.140625" defaultRowHeight="15" x14ac:dyDescent="0.25"/>
  <cols>
    <col min="1" max="1" width="5.28515625" style="6" customWidth="1"/>
    <col min="2" max="2" width="13.42578125" style="5" customWidth="1"/>
    <col min="3" max="3" width="71.7109375" customWidth="1"/>
    <col min="4" max="4" width="20.7109375" style="5" bestFit="1" customWidth="1"/>
    <col min="5" max="5" width="17.28515625" style="5" bestFit="1" customWidth="1"/>
    <col min="6" max="6" width="21.85546875" style="5" customWidth="1"/>
    <col min="7" max="7" width="10.85546875" style="24" customWidth="1"/>
    <col min="8" max="8" width="17.85546875" bestFit="1" customWidth="1"/>
  </cols>
  <sheetData>
    <row r="1" spans="1:7" ht="26.25" x14ac:dyDescent="0.4">
      <c r="A1" s="20" t="s">
        <v>0</v>
      </c>
      <c r="B1" s="20"/>
      <c r="C1" s="20"/>
      <c r="D1" s="2">
        <v>45006</v>
      </c>
      <c r="E1" s="2"/>
    </row>
    <row r="2" spans="1:7" ht="30" x14ac:dyDescent="0.25">
      <c r="A2" s="21" t="s">
        <v>4</v>
      </c>
      <c r="B2" s="21" t="s">
        <v>1</v>
      </c>
      <c r="C2" s="21" t="s">
        <v>2</v>
      </c>
      <c r="D2" s="22" t="s">
        <v>5</v>
      </c>
      <c r="E2" s="23" t="s">
        <v>6</v>
      </c>
      <c r="F2" s="21" t="s">
        <v>3</v>
      </c>
      <c r="G2" s="25" t="s">
        <v>390</v>
      </c>
    </row>
    <row r="3" spans="1:7" ht="16.5" x14ac:dyDescent="0.3">
      <c r="A3" s="26">
        <v>1</v>
      </c>
      <c r="B3" s="26">
        <v>3523170</v>
      </c>
      <c r="C3" s="26" t="s">
        <v>392</v>
      </c>
      <c r="D3" s="26">
        <v>202</v>
      </c>
      <c r="E3" s="26">
        <f>D3</f>
        <v>202</v>
      </c>
      <c r="F3" s="24" t="s">
        <v>393</v>
      </c>
      <c r="G3" s="24" t="s">
        <v>391</v>
      </c>
    </row>
  </sheetData>
  <autoFilter ref="A2:G3"/>
  <pageMargins left="0.7" right="0.7" top="0.75" bottom="0.75" header="0.3" footer="0.3"/>
  <pageSetup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44"/>
  <sheetViews>
    <sheetView topLeftCell="A28" workbookViewId="0">
      <selection activeCell="H44" sqref="H44"/>
    </sheetView>
  </sheetViews>
  <sheetFormatPr defaultRowHeight="15" x14ac:dyDescent="0.25"/>
  <cols>
    <col min="5" max="7" width="8.85546875" customWidth="1"/>
    <col min="9" max="9" width="8.85546875" customWidth="1"/>
    <col min="11" max="23" width="8.85546875" customWidth="1"/>
    <col min="24" max="24" width="13" customWidth="1"/>
    <col min="26" max="48" width="8.85546875" customWidth="1"/>
    <col min="49" max="49" width="24" customWidth="1"/>
    <col min="50" max="65" width="0" hidden="1" customWidth="1"/>
  </cols>
  <sheetData>
    <row r="1" spans="1:65" x14ac:dyDescent="0.25">
      <c r="A1" s="12" t="s">
        <v>62</v>
      </c>
      <c r="B1" s="12" t="s">
        <v>4</v>
      </c>
      <c r="C1" s="12" t="s">
        <v>379</v>
      </c>
      <c r="D1" s="12" t="s">
        <v>63</v>
      </c>
      <c r="E1" s="12" t="s">
        <v>64</v>
      </c>
      <c r="F1" s="12" t="s">
        <v>65</v>
      </c>
      <c r="G1" s="12" t="s">
        <v>66</v>
      </c>
      <c r="H1" s="12" t="s">
        <v>67</v>
      </c>
      <c r="I1" s="12" t="s">
        <v>68</v>
      </c>
      <c r="J1" s="12" t="s">
        <v>69</v>
      </c>
      <c r="K1" s="12" t="s">
        <v>70</v>
      </c>
      <c r="L1" s="12" t="s">
        <v>71</v>
      </c>
      <c r="M1" s="12" t="s">
        <v>72</v>
      </c>
      <c r="N1" s="12" t="s">
        <v>73</v>
      </c>
      <c r="O1" s="12" t="s">
        <v>74</v>
      </c>
      <c r="P1" s="12" t="s">
        <v>75</v>
      </c>
      <c r="Q1" s="12" t="s">
        <v>76</v>
      </c>
      <c r="R1" s="12" t="s">
        <v>77</v>
      </c>
      <c r="S1" s="12" t="s">
        <v>78</v>
      </c>
      <c r="T1" s="12" t="s">
        <v>79</v>
      </c>
      <c r="U1" s="12" t="s">
        <v>80</v>
      </c>
      <c r="V1" s="12" t="s">
        <v>81</v>
      </c>
      <c r="W1" s="12" t="s">
        <v>82</v>
      </c>
      <c r="X1" s="12" t="s">
        <v>83</v>
      </c>
      <c r="Y1" s="12" t="s">
        <v>84</v>
      </c>
      <c r="Z1" s="12" t="s">
        <v>85</v>
      </c>
      <c r="AA1" s="12" t="s">
        <v>86</v>
      </c>
      <c r="AB1" s="12" t="s">
        <v>87</v>
      </c>
      <c r="AC1" s="12" t="s">
        <v>88</v>
      </c>
      <c r="AD1" s="12" t="s">
        <v>89</v>
      </c>
      <c r="AE1" s="12" t="s">
        <v>90</v>
      </c>
      <c r="AF1" s="12" t="s">
        <v>91</v>
      </c>
      <c r="AG1" s="12" t="s">
        <v>92</v>
      </c>
      <c r="AH1" s="12" t="s">
        <v>93</v>
      </c>
      <c r="AI1" s="12" t="s">
        <v>94</v>
      </c>
      <c r="AJ1" s="12" t="s">
        <v>95</v>
      </c>
      <c r="AK1" s="12" t="s">
        <v>96</v>
      </c>
      <c r="AL1" s="12" t="s">
        <v>97</v>
      </c>
      <c r="AM1" s="12" t="s">
        <v>98</v>
      </c>
      <c r="AN1" s="12" t="s">
        <v>99</v>
      </c>
      <c r="AO1" s="12" t="s">
        <v>100</v>
      </c>
      <c r="AP1" s="12" t="s">
        <v>101</v>
      </c>
      <c r="AQ1" s="12" t="s">
        <v>102</v>
      </c>
      <c r="AR1" s="12" t="s">
        <v>103</v>
      </c>
      <c r="AS1" s="12" t="s">
        <v>104</v>
      </c>
      <c r="AT1" s="12" t="s">
        <v>105</v>
      </c>
      <c r="AU1" s="12" t="s">
        <v>106</v>
      </c>
      <c r="AV1" s="12" t="s">
        <v>107</v>
      </c>
      <c r="AW1" s="12" t="s">
        <v>108</v>
      </c>
      <c r="AX1" s="11" t="s">
        <v>109</v>
      </c>
      <c r="AY1" s="11" t="s">
        <v>110</v>
      </c>
      <c r="AZ1" s="11" t="s">
        <v>111</v>
      </c>
      <c r="BA1" s="11" t="s">
        <v>112</v>
      </c>
      <c r="BB1" s="11" t="s">
        <v>113</v>
      </c>
      <c r="BC1" s="11" t="s">
        <v>114</v>
      </c>
      <c r="BD1" s="11" t="s">
        <v>115</v>
      </c>
      <c r="BE1" s="11" t="s">
        <v>116</v>
      </c>
      <c r="BF1" s="11" t="s">
        <v>117</v>
      </c>
      <c r="BG1" s="11" t="s">
        <v>118</v>
      </c>
      <c r="BH1" s="11" t="s">
        <v>119</v>
      </c>
      <c r="BI1" s="11" t="s">
        <v>120</v>
      </c>
      <c r="BJ1" s="11" t="s">
        <v>121</v>
      </c>
      <c r="BK1" s="11" t="s">
        <v>122</v>
      </c>
      <c r="BL1" s="11" t="s">
        <v>123</v>
      </c>
      <c r="BM1" s="11"/>
    </row>
    <row r="2" spans="1:65" s="10" customFormat="1" x14ac:dyDescent="0.25">
      <c r="A2" s="10" t="s">
        <v>124</v>
      </c>
      <c r="B2" s="10">
        <v>1</v>
      </c>
      <c r="C2" s="10" t="s">
        <v>125</v>
      </c>
      <c r="D2" s="10" t="s">
        <v>126</v>
      </c>
      <c r="E2" s="10" t="s">
        <v>127</v>
      </c>
      <c r="F2" s="10" t="s">
        <v>128</v>
      </c>
      <c r="G2" s="10" t="s">
        <v>129</v>
      </c>
      <c r="H2" s="10" t="s">
        <v>33</v>
      </c>
      <c r="I2" s="10" t="s">
        <v>22</v>
      </c>
      <c r="J2" s="10">
        <v>760</v>
      </c>
      <c r="K2" s="10" t="s">
        <v>130</v>
      </c>
      <c r="L2" s="10" t="s">
        <v>131</v>
      </c>
      <c r="M2" s="10">
        <v>59793</v>
      </c>
      <c r="N2" s="10">
        <v>45442680</v>
      </c>
      <c r="O2" s="10">
        <v>0</v>
      </c>
      <c r="P2" s="10">
        <v>0</v>
      </c>
      <c r="Q2" s="10">
        <v>0.1</v>
      </c>
      <c r="R2" s="10" t="s">
        <v>132</v>
      </c>
      <c r="S2" s="10" t="s">
        <v>133</v>
      </c>
      <c r="T2" s="10" t="s">
        <v>129</v>
      </c>
      <c r="U2" s="10" t="s">
        <v>134</v>
      </c>
      <c r="V2" s="10" t="s">
        <v>129</v>
      </c>
      <c r="W2" s="10" t="s">
        <v>129</v>
      </c>
      <c r="X2" s="10">
        <v>3100.8</v>
      </c>
      <c r="Y2" s="10">
        <v>190</v>
      </c>
      <c r="Z2" s="10" t="b">
        <v>0</v>
      </c>
      <c r="AA2" s="10" t="s">
        <v>129</v>
      </c>
      <c r="AB2" s="10" t="s">
        <v>135</v>
      </c>
      <c r="AC2" s="10" t="s">
        <v>129</v>
      </c>
      <c r="AD2" s="10" t="s">
        <v>136</v>
      </c>
      <c r="AE2" s="10" t="s">
        <v>129</v>
      </c>
      <c r="AF2" s="10" t="b">
        <v>0</v>
      </c>
      <c r="AG2" s="10" t="s">
        <v>137</v>
      </c>
      <c r="AH2" s="10" t="s">
        <v>129</v>
      </c>
      <c r="AI2" s="10" t="b">
        <v>0</v>
      </c>
      <c r="AJ2" s="10" t="s">
        <v>129</v>
      </c>
      <c r="AK2" s="10" t="s">
        <v>129</v>
      </c>
      <c r="AL2" s="10" t="s">
        <v>129</v>
      </c>
      <c r="AM2" s="10">
        <v>0</v>
      </c>
      <c r="AN2" s="10" t="s">
        <v>129</v>
      </c>
      <c r="AO2" s="10" t="s">
        <v>138</v>
      </c>
      <c r="AP2" s="10" t="s">
        <v>129</v>
      </c>
      <c r="AQ2" s="10" t="s">
        <v>139</v>
      </c>
      <c r="AR2" s="10" t="s">
        <v>140</v>
      </c>
      <c r="AS2" s="10" t="s">
        <v>141</v>
      </c>
      <c r="AT2" s="10" t="s">
        <v>129</v>
      </c>
      <c r="AU2" s="10" t="s">
        <v>142</v>
      </c>
      <c r="AV2" s="10" t="s">
        <v>129</v>
      </c>
      <c r="AW2" s="10" t="s">
        <v>13</v>
      </c>
      <c r="AX2" s="10" t="s">
        <v>129</v>
      </c>
      <c r="AY2" s="10" t="s">
        <v>143</v>
      </c>
      <c r="AZ2" s="10" t="s">
        <v>143</v>
      </c>
      <c r="BA2" s="10" t="s">
        <v>144</v>
      </c>
      <c r="BB2" s="10" t="s">
        <v>145</v>
      </c>
      <c r="BC2" s="10" t="s">
        <v>146</v>
      </c>
      <c r="BD2" s="10" t="s">
        <v>147</v>
      </c>
      <c r="BE2" s="10" t="s">
        <v>148</v>
      </c>
      <c r="BF2" s="10" t="s">
        <v>149</v>
      </c>
      <c r="BG2" s="10" t="s">
        <v>150</v>
      </c>
      <c r="BH2" s="10" t="s">
        <v>151</v>
      </c>
      <c r="BI2" s="10" t="s">
        <v>152</v>
      </c>
      <c r="BJ2" s="10" t="s">
        <v>129</v>
      </c>
      <c r="BK2" s="10" t="s">
        <v>129</v>
      </c>
      <c r="BL2" s="10" t="s">
        <v>143</v>
      </c>
    </row>
    <row r="3" spans="1:65" s="10" customFormat="1" x14ac:dyDescent="0.25">
      <c r="A3" s="10" t="s">
        <v>124</v>
      </c>
      <c r="B3" s="10">
        <v>1</v>
      </c>
      <c r="C3" s="10" t="s">
        <v>125</v>
      </c>
      <c r="D3" s="10" t="s">
        <v>126</v>
      </c>
      <c r="E3" s="10" t="s">
        <v>127</v>
      </c>
      <c r="F3" s="10" t="s">
        <v>128</v>
      </c>
      <c r="G3" s="10" t="s">
        <v>129</v>
      </c>
      <c r="H3" s="10" t="s">
        <v>37</v>
      </c>
      <c r="I3" s="10" t="s">
        <v>24</v>
      </c>
      <c r="J3" s="10">
        <v>608</v>
      </c>
      <c r="K3" s="10" t="s">
        <v>130</v>
      </c>
      <c r="L3" s="10" t="s">
        <v>131</v>
      </c>
      <c r="M3" s="10">
        <v>53647</v>
      </c>
      <c r="N3" s="10">
        <v>32617376</v>
      </c>
      <c r="O3" s="10">
        <v>0</v>
      </c>
      <c r="P3" s="10">
        <v>0</v>
      </c>
      <c r="Q3" s="10">
        <v>0.1</v>
      </c>
      <c r="R3" s="10" t="s">
        <v>132</v>
      </c>
      <c r="S3" s="10" t="s">
        <v>133</v>
      </c>
      <c r="T3" s="10" t="s">
        <v>129</v>
      </c>
      <c r="U3" s="10" t="s">
        <v>153</v>
      </c>
      <c r="V3" s="10" t="s">
        <v>129</v>
      </c>
      <c r="W3" s="10" t="s">
        <v>129</v>
      </c>
      <c r="X3" s="10">
        <v>1083.46</v>
      </c>
      <c r="Y3" s="10">
        <v>76</v>
      </c>
      <c r="Z3" s="10" t="b">
        <v>0</v>
      </c>
      <c r="AA3" s="10" t="s">
        <v>129</v>
      </c>
      <c r="AB3" s="10" t="s">
        <v>135</v>
      </c>
      <c r="AC3" s="10" t="s">
        <v>129</v>
      </c>
      <c r="AD3" s="10" t="s">
        <v>136</v>
      </c>
      <c r="AE3" s="10" t="s">
        <v>129</v>
      </c>
      <c r="AF3" s="10" t="b">
        <v>0</v>
      </c>
      <c r="AG3" s="10" t="s">
        <v>137</v>
      </c>
      <c r="AH3" s="10" t="s">
        <v>129</v>
      </c>
      <c r="AI3" s="10" t="b">
        <v>0</v>
      </c>
      <c r="AJ3" s="10" t="s">
        <v>129</v>
      </c>
      <c r="AK3" s="10" t="s">
        <v>129</v>
      </c>
      <c r="AL3" s="10" t="s">
        <v>129</v>
      </c>
      <c r="AM3" s="10">
        <v>0</v>
      </c>
      <c r="AN3" s="10" t="s">
        <v>129</v>
      </c>
      <c r="AO3" s="10" t="s">
        <v>154</v>
      </c>
      <c r="AP3" s="10" t="s">
        <v>129</v>
      </c>
      <c r="AQ3" s="10" t="s">
        <v>139</v>
      </c>
      <c r="AR3" s="10" t="s">
        <v>140</v>
      </c>
      <c r="AS3" s="10" t="s">
        <v>141</v>
      </c>
      <c r="AT3" s="10" t="s">
        <v>129</v>
      </c>
      <c r="AU3" s="10" t="s">
        <v>142</v>
      </c>
      <c r="AV3" s="10" t="s">
        <v>129</v>
      </c>
      <c r="AW3" s="10" t="s">
        <v>13</v>
      </c>
      <c r="AX3" s="10" t="s">
        <v>129</v>
      </c>
      <c r="AY3" s="10" t="s">
        <v>143</v>
      </c>
      <c r="AZ3" s="10" t="s">
        <v>143</v>
      </c>
      <c r="BA3" s="10" t="s">
        <v>155</v>
      </c>
      <c r="BB3" s="10" t="s">
        <v>156</v>
      </c>
      <c r="BC3" s="10" t="s">
        <v>157</v>
      </c>
      <c r="BD3" s="10" t="s">
        <v>158</v>
      </c>
      <c r="BE3" s="10" t="s">
        <v>148</v>
      </c>
      <c r="BF3" s="10" t="s">
        <v>149</v>
      </c>
      <c r="BG3" s="10" t="s">
        <v>150</v>
      </c>
      <c r="BH3" s="10" t="s">
        <v>151</v>
      </c>
      <c r="BI3" s="10" t="s">
        <v>152</v>
      </c>
      <c r="BJ3" s="10" t="s">
        <v>129</v>
      </c>
      <c r="BK3" s="10" t="s">
        <v>129</v>
      </c>
      <c r="BL3" s="10" t="s">
        <v>143</v>
      </c>
    </row>
    <row r="4" spans="1:65" s="10" customFormat="1" x14ac:dyDescent="0.25">
      <c r="A4" s="10" t="s">
        <v>124</v>
      </c>
      <c r="B4" s="10">
        <v>1</v>
      </c>
      <c r="C4" s="10" t="s">
        <v>125</v>
      </c>
      <c r="D4" s="10" t="s">
        <v>126</v>
      </c>
      <c r="E4" s="10" t="s">
        <v>127</v>
      </c>
      <c r="F4" s="10" t="s">
        <v>128</v>
      </c>
      <c r="G4" s="10" t="s">
        <v>129</v>
      </c>
      <c r="H4" s="10" t="s">
        <v>40</v>
      </c>
      <c r="I4" s="10" t="s">
        <v>159</v>
      </c>
      <c r="J4" s="10">
        <v>608</v>
      </c>
      <c r="K4" s="10" t="s">
        <v>130</v>
      </c>
      <c r="L4" s="10" t="s">
        <v>131</v>
      </c>
      <c r="M4" s="10">
        <v>56946</v>
      </c>
      <c r="N4" s="10">
        <v>34623168</v>
      </c>
      <c r="O4" s="10">
        <v>0</v>
      </c>
      <c r="P4" s="10">
        <v>0</v>
      </c>
      <c r="Q4" s="10">
        <v>0.1</v>
      </c>
      <c r="R4" s="10" t="s">
        <v>132</v>
      </c>
      <c r="S4" s="10" t="s">
        <v>133</v>
      </c>
      <c r="T4" s="10" t="s">
        <v>129</v>
      </c>
      <c r="U4" s="10" t="s">
        <v>160</v>
      </c>
      <c r="V4" s="10" t="s">
        <v>129</v>
      </c>
      <c r="W4" s="10" t="s">
        <v>129</v>
      </c>
      <c r="X4" s="10">
        <v>2480.64</v>
      </c>
      <c r="Y4" s="10">
        <v>152</v>
      </c>
      <c r="Z4" s="10" t="b">
        <v>0</v>
      </c>
      <c r="AA4" s="10" t="s">
        <v>129</v>
      </c>
      <c r="AB4" s="10" t="s">
        <v>135</v>
      </c>
      <c r="AC4" s="10" t="s">
        <v>129</v>
      </c>
      <c r="AD4" s="10" t="s">
        <v>136</v>
      </c>
      <c r="AE4" s="10" t="s">
        <v>129</v>
      </c>
      <c r="AF4" s="10" t="b">
        <v>0</v>
      </c>
      <c r="AG4" s="10" t="s">
        <v>137</v>
      </c>
      <c r="AH4" s="10" t="s">
        <v>129</v>
      </c>
      <c r="AI4" s="10" t="b">
        <v>0</v>
      </c>
      <c r="AJ4" s="10" t="s">
        <v>129</v>
      </c>
      <c r="AK4" s="10" t="s">
        <v>129</v>
      </c>
      <c r="AL4" s="10" t="s">
        <v>129</v>
      </c>
      <c r="AM4" s="10">
        <v>0</v>
      </c>
      <c r="AN4" s="10" t="s">
        <v>129</v>
      </c>
      <c r="AO4" s="10" t="s">
        <v>138</v>
      </c>
      <c r="AP4" s="10" t="s">
        <v>129</v>
      </c>
      <c r="AQ4" s="10" t="s">
        <v>139</v>
      </c>
      <c r="AR4" s="10" t="s">
        <v>140</v>
      </c>
      <c r="AS4" s="10" t="s">
        <v>141</v>
      </c>
      <c r="AT4" s="10" t="s">
        <v>129</v>
      </c>
      <c r="AU4" s="10" t="s">
        <v>142</v>
      </c>
      <c r="AV4" s="10" t="s">
        <v>129</v>
      </c>
      <c r="AW4" s="10" t="s">
        <v>13</v>
      </c>
      <c r="AX4" s="10" t="s">
        <v>129</v>
      </c>
      <c r="AY4" s="10" t="s">
        <v>143</v>
      </c>
      <c r="AZ4" s="10" t="s">
        <v>143</v>
      </c>
      <c r="BA4" s="10" t="s">
        <v>161</v>
      </c>
      <c r="BB4" s="10" t="s">
        <v>162</v>
      </c>
      <c r="BC4" s="10" t="s">
        <v>146</v>
      </c>
      <c r="BD4" s="10" t="s">
        <v>147</v>
      </c>
      <c r="BE4" s="10" t="s">
        <v>148</v>
      </c>
      <c r="BF4" s="10" t="s">
        <v>149</v>
      </c>
      <c r="BG4" s="10" t="s">
        <v>150</v>
      </c>
      <c r="BH4" s="10" t="s">
        <v>151</v>
      </c>
      <c r="BI4" s="10" t="s">
        <v>152</v>
      </c>
      <c r="BJ4" s="10" t="s">
        <v>129</v>
      </c>
      <c r="BK4" s="10" t="s">
        <v>129</v>
      </c>
      <c r="BL4" s="10" t="s">
        <v>143</v>
      </c>
    </row>
    <row r="5" spans="1:65" s="10" customFormat="1" x14ac:dyDescent="0.25">
      <c r="A5" s="10" t="s">
        <v>124</v>
      </c>
      <c r="B5" s="10">
        <v>1</v>
      </c>
      <c r="C5" s="10" t="s">
        <v>163</v>
      </c>
      <c r="D5" s="10" t="s">
        <v>126</v>
      </c>
      <c r="E5" s="10" t="s">
        <v>127</v>
      </c>
      <c r="F5" s="10" t="s">
        <v>164</v>
      </c>
      <c r="G5" s="10" t="s">
        <v>129</v>
      </c>
      <c r="H5" s="10" t="s">
        <v>33</v>
      </c>
      <c r="I5" s="10" t="s">
        <v>22</v>
      </c>
      <c r="J5" s="10">
        <v>40</v>
      </c>
      <c r="K5" s="10" t="s">
        <v>165</v>
      </c>
      <c r="L5" s="10" t="s">
        <v>131</v>
      </c>
      <c r="M5" s="10">
        <v>44887</v>
      </c>
      <c r="N5" s="10">
        <v>1795480</v>
      </c>
      <c r="O5" s="10">
        <v>0</v>
      </c>
      <c r="P5" s="10">
        <v>0</v>
      </c>
      <c r="Q5" s="10">
        <v>0</v>
      </c>
      <c r="R5" s="10" t="s">
        <v>129</v>
      </c>
      <c r="S5" s="10" t="s">
        <v>133</v>
      </c>
      <c r="T5" s="10" t="s">
        <v>33</v>
      </c>
      <c r="U5" s="10" t="s">
        <v>166</v>
      </c>
      <c r="V5" s="10" t="s">
        <v>134</v>
      </c>
      <c r="W5" s="10" t="s">
        <v>167</v>
      </c>
      <c r="X5" s="10">
        <v>163.19999999999999</v>
      </c>
      <c r="Y5" s="10">
        <v>10</v>
      </c>
      <c r="Z5" s="10" t="b">
        <v>0</v>
      </c>
      <c r="AA5" s="10" t="s">
        <v>129</v>
      </c>
      <c r="AB5" s="10" t="s">
        <v>135</v>
      </c>
      <c r="AC5" s="10" t="s">
        <v>129</v>
      </c>
      <c r="AD5" s="10" t="s">
        <v>136</v>
      </c>
      <c r="AE5" s="10" t="s">
        <v>129</v>
      </c>
      <c r="AF5" s="10" t="b">
        <v>0</v>
      </c>
      <c r="AG5" s="10" t="s">
        <v>137</v>
      </c>
      <c r="AH5" s="10" t="s">
        <v>129</v>
      </c>
      <c r="AI5" s="10" t="b">
        <v>0</v>
      </c>
      <c r="AJ5" s="10" t="s">
        <v>129</v>
      </c>
      <c r="AK5" s="10" t="s">
        <v>129</v>
      </c>
      <c r="AL5" s="10" t="s">
        <v>129</v>
      </c>
      <c r="AM5" s="10">
        <v>0</v>
      </c>
      <c r="AN5" s="10" t="s">
        <v>129</v>
      </c>
      <c r="AO5" s="10" t="s">
        <v>138</v>
      </c>
      <c r="AP5" s="10" t="s">
        <v>129</v>
      </c>
      <c r="AQ5" s="10" t="s">
        <v>139</v>
      </c>
      <c r="AR5" s="10" t="s">
        <v>140</v>
      </c>
      <c r="AS5" s="10" t="s">
        <v>141</v>
      </c>
      <c r="AT5" s="10" t="s">
        <v>129</v>
      </c>
      <c r="AU5" s="10" t="s">
        <v>142</v>
      </c>
      <c r="AV5" s="10" t="s">
        <v>129</v>
      </c>
      <c r="AW5" s="10" t="s">
        <v>13</v>
      </c>
      <c r="AX5" s="10" t="s">
        <v>129</v>
      </c>
      <c r="AY5" s="10" t="s">
        <v>143</v>
      </c>
      <c r="AZ5" s="10" t="s">
        <v>143</v>
      </c>
      <c r="BA5" s="10" t="s">
        <v>144</v>
      </c>
      <c r="BB5" s="10" t="s">
        <v>145</v>
      </c>
      <c r="BC5" s="10" t="s">
        <v>146</v>
      </c>
      <c r="BD5" s="10" t="s">
        <v>147</v>
      </c>
      <c r="BE5" s="10" t="s">
        <v>148</v>
      </c>
      <c r="BF5" s="10" t="s">
        <v>149</v>
      </c>
      <c r="BG5" s="10" t="s">
        <v>150</v>
      </c>
      <c r="BH5" s="10" t="s">
        <v>151</v>
      </c>
      <c r="BI5" s="10" t="s">
        <v>152</v>
      </c>
      <c r="BJ5" s="10" t="s">
        <v>129</v>
      </c>
      <c r="BK5" s="10" t="s">
        <v>129</v>
      </c>
      <c r="BL5" s="10" t="s">
        <v>143</v>
      </c>
    </row>
    <row r="6" spans="1:65" s="10" customFormat="1" x14ac:dyDescent="0.25">
      <c r="A6" s="10" t="s">
        <v>124</v>
      </c>
      <c r="B6" s="10">
        <v>1</v>
      </c>
      <c r="C6" s="10" t="s">
        <v>163</v>
      </c>
      <c r="D6" s="10" t="s">
        <v>126</v>
      </c>
      <c r="E6" s="10" t="s">
        <v>127</v>
      </c>
      <c r="F6" s="10" t="s">
        <v>164</v>
      </c>
      <c r="G6" s="10" t="s">
        <v>129</v>
      </c>
      <c r="H6" s="10" t="s">
        <v>37</v>
      </c>
      <c r="I6" s="10" t="s">
        <v>24</v>
      </c>
      <c r="J6" s="10">
        <v>32</v>
      </c>
      <c r="K6" s="10" t="s">
        <v>165</v>
      </c>
      <c r="L6" s="10" t="s">
        <v>131</v>
      </c>
      <c r="M6" s="10">
        <v>38878</v>
      </c>
      <c r="N6" s="10">
        <v>1244096</v>
      </c>
      <c r="O6" s="10">
        <v>0</v>
      </c>
      <c r="P6" s="10">
        <v>0</v>
      </c>
      <c r="Q6" s="10">
        <v>0</v>
      </c>
      <c r="R6" s="10" t="s">
        <v>129</v>
      </c>
      <c r="S6" s="10" t="s">
        <v>133</v>
      </c>
      <c r="T6" s="10" t="s">
        <v>37</v>
      </c>
      <c r="U6" s="10" t="s">
        <v>168</v>
      </c>
      <c r="V6" s="10" t="s">
        <v>153</v>
      </c>
      <c r="W6" s="10" t="s">
        <v>167</v>
      </c>
      <c r="X6" s="10">
        <v>57.02</v>
      </c>
      <c r="Y6" s="10">
        <v>4</v>
      </c>
      <c r="Z6" s="10" t="b">
        <v>0</v>
      </c>
      <c r="AA6" s="10" t="s">
        <v>129</v>
      </c>
      <c r="AB6" s="10" t="s">
        <v>135</v>
      </c>
      <c r="AC6" s="10" t="s">
        <v>129</v>
      </c>
      <c r="AD6" s="10" t="s">
        <v>136</v>
      </c>
      <c r="AE6" s="10" t="s">
        <v>129</v>
      </c>
      <c r="AF6" s="10" t="b">
        <v>0</v>
      </c>
      <c r="AG6" s="10" t="s">
        <v>137</v>
      </c>
      <c r="AH6" s="10" t="s">
        <v>129</v>
      </c>
      <c r="AI6" s="10" t="b">
        <v>0</v>
      </c>
      <c r="AJ6" s="10" t="s">
        <v>129</v>
      </c>
      <c r="AK6" s="10" t="s">
        <v>129</v>
      </c>
      <c r="AL6" s="10" t="s">
        <v>129</v>
      </c>
      <c r="AM6" s="10">
        <v>0</v>
      </c>
      <c r="AN6" s="10" t="s">
        <v>129</v>
      </c>
      <c r="AO6" s="10" t="s">
        <v>154</v>
      </c>
      <c r="AP6" s="10" t="s">
        <v>129</v>
      </c>
      <c r="AQ6" s="10" t="s">
        <v>139</v>
      </c>
      <c r="AR6" s="10" t="s">
        <v>140</v>
      </c>
      <c r="AS6" s="10" t="s">
        <v>141</v>
      </c>
      <c r="AT6" s="10" t="s">
        <v>129</v>
      </c>
      <c r="AU6" s="10" t="s">
        <v>142</v>
      </c>
      <c r="AV6" s="10" t="s">
        <v>129</v>
      </c>
      <c r="AW6" s="10" t="s">
        <v>13</v>
      </c>
      <c r="AX6" s="10" t="s">
        <v>129</v>
      </c>
      <c r="AY6" s="10" t="s">
        <v>143</v>
      </c>
      <c r="AZ6" s="10" t="s">
        <v>143</v>
      </c>
      <c r="BA6" s="10" t="s">
        <v>155</v>
      </c>
      <c r="BB6" s="10" t="s">
        <v>156</v>
      </c>
      <c r="BC6" s="10" t="s">
        <v>157</v>
      </c>
      <c r="BD6" s="10" t="s">
        <v>158</v>
      </c>
      <c r="BE6" s="10" t="s">
        <v>148</v>
      </c>
      <c r="BF6" s="10" t="s">
        <v>149</v>
      </c>
      <c r="BG6" s="10" t="s">
        <v>150</v>
      </c>
      <c r="BH6" s="10" t="s">
        <v>151</v>
      </c>
      <c r="BI6" s="10" t="s">
        <v>152</v>
      </c>
      <c r="BJ6" s="10" t="s">
        <v>129</v>
      </c>
      <c r="BK6" s="10" t="s">
        <v>129</v>
      </c>
      <c r="BL6" s="10" t="s">
        <v>143</v>
      </c>
    </row>
    <row r="7" spans="1:65" s="10" customFormat="1" x14ac:dyDescent="0.25">
      <c r="A7" s="10" t="s">
        <v>124</v>
      </c>
      <c r="B7" s="10">
        <v>1</v>
      </c>
      <c r="C7" s="10" t="s">
        <v>163</v>
      </c>
      <c r="D7" s="10" t="s">
        <v>126</v>
      </c>
      <c r="E7" s="10" t="s">
        <v>127</v>
      </c>
      <c r="F7" s="10" t="s">
        <v>164</v>
      </c>
      <c r="G7" s="10" t="s">
        <v>129</v>
      </c>
      <c r="H7" s="10" t="s">
        <v>40</v>
      </c>
      <c r="I7" s="10" t="s">
        <v>159</v>
      </c>
      <c r="J7" s="10">
        <v>32</v>
      </c>
      <c r="K7" s="10" t="s">
        <v>165</v>
      </c>
      <c r="L7" s="10" t="s">
        <v>131</v>
      </c>
      <c r="M7" s="10">
        <v>43661</v>
      </c>
      <c r="N7" s="10">
        <v>1397152</v>
      </c>
      <c r="O7" s="10">
        <v>0</v>
      </c>
      <c r="P7" s="10">
        <v>0</v>
      </c>
      <c r="Q7" s="10">
        <v>0</v>
      </c>
      <c r="R7" s="10" t="s">
        <v>129</v>
      </c>
      <c r="S7" s="10" t="s">
        <v>133</v>
      </c>
      <c r="T7" s="10" t="s">
        <v>40</v>
      </c>
      <c r="U7" s="10" t="s">
        <v>169</v>
      </c>
      <c r="V7" s="10" t="s">
        <v>160</v>
      </c>
      <c r="W7" s="10" t="s">
        <v>167</v>
      </c>
      <c r="X7" s="10">
        <v>130.56</v>
      </c>
      <c r="Y7" s="10">
        <v>8</v>
      </c>
      <c r="Z7" s="10" t="b">
        <v>0</v>
      </c>
      <c r="AA7" s="10" t="s">
        <v>129</v>
      </c>
      <c r="AB7" s="10" t="s">
        <v>135</v>
      </c>
      <c r="AC7" s="10" t="s">
        <v>129</v>
      </c>
      <c r="AD7" s="10" t="s">
        <v>136</v>
      </c>
      <c r="AE7" s="10" t="s">
        <v>129</v>
      </c>
      <c r="AF7" s="10" t="b">
        <v>0</v>
      </c>
      <c r="AG7" s="10" t="s">
        <v>137</v>
      </c>
      <c r="AH7" s="10" t="s">
        <v>129</v>
      </c>
      <c r="AI7" s="10" t="b">
        <v>0</v>
      </c>
      <c r="AJ7" s="10" t="s">
        <v>129</v>
      </c>
      <c r="AK7" s="10" t="s">
        <v>129</v>
      </c>
      <c r="AL7" s="10" t="s">
        <v>129</v>
      </c>
      <c r="AM7" s="10">
        <v>0</v>
      </c>
      <c r="AN7" s="10" t="s">
        <v>129</v>
      </c>
      <c r="AO7" s="10" t="s">
        <v>138</v>
      </c>
      <c r="AP7" s="10" t="s">
        <v>129</v>
      </c>
      <c r="AQ7" s="10" t="s">
        <v>139</v>
      </c>
      <c r="AR7" s="10" t="s">
        <v>140</v>
      </c>
      <c r="AS7" s="10" t="s">
        <v>141</v>
      </c>
      <c r="AT7" s="10" t="s">
        <v>129</v>
      </c>
      <c r="AU7" s="10" t="s">
        <v>142</v>
      </c>
      <c r="AV7" s="10" t="s">
        <v>129</v>
      </c>
      <c r="AW7" s="10" t="s">
        <v>13</v>
      </c>
      <c r="AX7" s="10" t="s">
        <v>129</v>
      </c>
      <c r="AY7" s="10" t="s">
        <v>143</v>
      </c>
      <c r="AZ7" s="10" t="s">
        <v>143</v>
      </c>
      <c r="BA7" s="10" t="s">
        <v>161</v>
      </c>
      <c r="BB7" s="10" t="s">
        <v>162</v>
      </c>
      <c r="BC7" s="10" t="s">
        <v>146</v>
      </c>
      <c r="BD7" s="10" t="s">
        <v>147</v>
      </c>
      <c r="BE7" s="10" t="s">
        <v>148</v>
      </c>
      <c r="BF7" s="10" t="s">
        <v>149</v>
      </c>
      <c r="BG7" s="10" t="s">
        <v>150</v>
      </c>
      <c r="BH7" s="10" t="s">
        <v>151</v>
      </c>
      <c r="BI7" s="10" t="s">
        <v>152</v>
      </c>
      <c r="BJ7" s="10" t="s">
        <v>129</v>
      </c>
      <c r="BK7" s="10" t="s">
        <v>129</v>
      </c>
      <c r="BL7" s="10" t="s">
        <v>143</v>
      </c>
    </row>
    <row r="8" spans="1:65" x14ac:dyDescent="0.25">
      <c r="A8" t="s">
        <v>124</v>
      </c>
      <c r="B8">
        <v>2</v>
      </c>
      <c r="C8" t="s">
        <v>170</v>
      </c>
      <c r="D8" t="s">
        <v>126</v>
      </c>
      <c r="E8" t="s">
        <v>127</v>
      </c>
      <c r="F8" t="s">
        <v>171</v>
      </c>
      <c r="G8" t="s">
        <v>129</v>
      </c>
      <c r="H8" t="s">
        <v>52</v>
      </c>
      <c r="I8" t="s">
        <v>15</v>
      </c>
      <c r="J8">
        <v>1600</v>
      </c>
      <c r="K8" t="s">
        <v>172</v>
      </c>
      <c r="L8" t="s">
        <v>131</v>
      </c>
      <c r="M8">
        <v>55624</v>
      </c>
      <c r="N8">
        <v>88998400</v>
      </c>
      <c r="O8">
        <v>0</v>
      </c>
      <c r="P8">
        <v>0</v>
      </c>
      <c r="Q8">
        <v>0.1</v>
      </c>
      <c r="R8" t="s">
        <v>129</v>
      </c>
      <c r="S8" t="s">
        <v>173</v>
      </c>
      <c r="T8" t="s">
        <v>129</v>
      </c>
      <c r="U8" t="s">
        <v>174</v>
      </c>
      <c r="V8" t="s">
        <v>129</v>
      </c>
      <c r="W8" t="s">
        <v>129</v>
      </c>
      <c r="X8">
        <v>5760</v>
      </c>
      <c r="Y8">
        <v>400</v>
      </c>
      <c r="Z8" t="b">
        <v>0</v>
      </c>
      <c r="AA8" t="s">
        <v>129</v>
      </c>
      <c r="AB8" t="s">
        <v>135</v>
      </c>
      <c r="AC8" t="s">
        <v>129</v>
      </c>
      <c r="AD8" t="s">
        <v>136</v>
      </c>
      <c r="AE8" t="s">
        <v>129</v>
      </c>
      <c r="AF8" t="b">
        <v>0</v>
      </c>
      <c r="AG8" t="s">
        <v>137</v>
      </c>
      <c r="AH8" t="s">
        <v>129</v>
      </c>
      <c r="AI8" t="b">
        <v>0</v>
      </c>
      <c r="AJ8" t="s">
        <v>129</v>
      </c>
      <c r="AK8" t="s">
        <v>129</v>
      </c>
      <c r="AL8" t="s">
        <v>129</v>
      </c>
      <c r="AM8">
        <v>0</v>
      </c>
      <c r="AN8" t="s">
        <v>129</v>
      </c>
      <c r="AO8" t="s">
        <v>175</v>
      </c>
      <c r="AP8" t="s">
        <v>129</v>
      </c>
      <c r="AQ8" t="s">
        <v>176</v>
      </c>
      <c r="AR8" t="s">
        <v>140</v>
      </c>
      <c r="AS8" t="s">
        <v>141</v>
      </c>
      <c r="AT8" t="s">
        <v>129</v>
      </c>
      <c r="AU8" t="s">
        <v>142</v>
      </c>
      <c r="AV8" t="s">
        <v>129</v>
      </c>
      <c r="AW8" t="s">
        <v>16</v>
      </c>
      <c r="AX8" t="s">
        <v>129</v>
      </c>
      <c r="AY8" t="s">
        <v>143</v>
      </c>
      <c r="AZ8" t="s">
        <v>143</v>
      </c>
      <c r="BA8" t="s">
        <v>177</v>
      </c>
      <c r="BB8" t="s">
        <v>178</v>
      </c>
      <c r="BC8" t="s">
        <v>179</v>
      </c>
      <c r="BD8" t="s">
        <v>180</v>
      </c>
      <c r="BE8" t="s">
        <v>148</v>
      </c>
      <c r="BF8" t="s">
        <v>149</v>
      </c>
      <c r="BG8" t="s">
        <v>150</v>
      </c>
      <c r="BH8" t="s">
        <v>151</v>
      </c>
      <c r="BI8" t="s">
        <v>152</v>
      </c>
      <c r="BJ8" t="s">
        <v>129</v>
      </c>
      <c r="BK8" t="s">
        <v>129</v>
      </c>
      <c r="BL8" t="s">
        <v>143</v>
      </c>
    </row>
    <row r="9" spans="1:65" x14ac:dyDescent="0.25">
      <c r="A9" t="s">
        <v>124</v>
      </c>
      <c r="B9">
        <v>2</v>
      </c>
      <c r="C9" t="s">
        <v>170</v>
      </c>
      <c r="D9" t="s">
        <v>126</v>
      </c>
      <c r="E9" t="s">
        <v>127</v>
      </c>
      <c r="F9" t="s">
        <v>171</v>
      </c>
      <c r="G9" t="s">
        <v>129</v>
      </c>
      <c r="H9" t="s">
        <v>60</v>
      </c>
      <c r="I9" t="s">
        <v>181</v>
      </c>
      <c r="J9">
        <v>600</v>
      </c>
      <c r="K9" t="s">
        <v>172</v>
      </c>
      <c r="L9" t="s">
        <v>131</v>
      </c>
      <c r="M9">
        <v>80560</v>
      </c>
      <c r="N9">
        <v>48336000</v>
      </c>
      <c r="O9">
        <v>0</v>
      </c>
      <c r="P9">
        <v>0</v>
      </c>
      <c r="Q9">
        <v>0.1</v>
      </c>
      <c r="R9" t="s">
        <v>129</v>
      </c>
      <c r="S9" t="s">
        <v>173</v>
      </c>
      <c r="T9" t="s">
        <v>129</v>
      </c>
      <c r="U9" t="s">
        <v>182</v>
      </c>
      <c r="V9" t="s">
        <v>129</v>
      </c>
      <c r="W9" t="s">
        <v>129</v>
      </c>
      <c r="X9">
        <v>2160</v>
      </c>
      <c r="Y9">
        <v>150</v>
      </c>
      <c r="Z9" t="b">
        <v>0</v>
      </c>
      <c r="AA9" t="s">
        <v>129</v>
      </c>
      <c r="AB9" t="s">
        <v>135</v>
      </c>
      <c r="AC9" t="s">
        <v>129</v>
      </c>
      <c r="AD9" t="s">
        <v>136</v>
      </c>
      <c r="AE9" t="s">
        <v>129</v>
      </c>
      <c r="AF9" t="b">
        <v>0</v>
      </c>
      <c r="AG9" t="s">
        <v>137</v>
      </c>
      <c r="AH9" t="s">
        <v>129</v>
      </c>
      <c r="AI9" t="b">
        <v>0</v>
      </c>
      <c r="AJ9" t="s">
        <v>129</v>
      </c>
      <c r="AK9" t="s">
        <v>129</v>
      </c>
      <c r="AL9" t="s">
        <v>129</v>
      </c>
      <c r="AM9">
        <v>0</v>
      </c>
      <c r="AN9" t="s">
        <v>129</v>
      </c>
      <c r="AO9" t="s">
        <v>138</v>
      </c>
      <c r="AP9" t="s">
        <v>129</v>
      </c>
      <c r="AQ9" t="s">
        <v>176</v>
      </c>
      <c r="AR9" t="s">
        <v>140</v>
      </c>
      <c r="AS9" t="s">
        <v>141</v>
      </c>
      <c r="AT9" t="s">
        <v>129</v>
      </c>
      <c r="AU9" t="s">
        <v>142</v>
      </c>
      <c r="AV9" t="s">
        <v>129</v>
      </c>
      <c r="AW9" t="s">
        <v>16</v>
      </c>
      <c r="AX9" t="s">
        <v>129</v>
      </c>
      <c r="AY9" t="s">
        <v>143</v>
      </c>
      <c r="AZ9" t="s">
        <v>143</v>
      </c>
      <c r="BA9" t="s">
        <v>183</v>
      </c>
      <c r="BB9" t="s">
        <v>184</v>
      </c>
      <c r="BC9" t="s">
        <v>185</v>
      </c>
      <c r="BD9" t="s">
        <v>186</v>
      </c>
      <c r="BE9" t="s">
        <v>148</v>
      </c>
      <c r="BF9" t="s">
        <v>149</v>
      </c>
      <c r="BG9" t="s">
        <v>150</v>
      </c>
      <c r="BH9" t="s">
        <v>151</v>
      </c>
      <c r="BI9" t="s">
        <v>152</v>
      </c>
      <c r="BJ9" t="s">
        <v>129</v>
      </c>
      <c r="BK9" t="s">
        <v>129</v>
      </c>
      <c r="BL9" t="s">
        <v>143</v>
      </c>
    </row>
    <row r="10" spans="1:65" x14ac:dyDescent="0.25">
      <c r="A10" t="s">
        <v>124</v>
      </c>
      <c r="B10">
        <v>3</v>
      </c>
      <c r="C10" t="s">
        <v>187</v>
      </c>
      <c r="D10" t="s">
        <v>126</v>
      </c>
      <c r="E10" t="s">
        <v>127</v>
      </c>
      <c r="F10" t="s">
        <v>171</v>
      </c>
      <c r="G10" t="s">
        <v>129</v>
      </c>
      <c r="H10" t="s">
        <v>53</v>
      </c>
      <c r="I10" t="s">
        <v>7</v>
      </c>
      <c r="J10">
        <v>1600</v>
      </c>
      <c r="K10" t="s">
        <v>188</v>
      </c>
      <c r="L10" t="s">
        <v>131</v>
      </c>
      <c r="M10">
        <v>47775</v>
      </c>
      <c r="N10">
        <v>76440000</v>
      </c>
      <c r="O10">
        <v>0</v>
      </c>
      <c r="P10">
        <v>0</v>
      </c>
      <c r="Q10">
        <v>0.1</v>
      </c>
      <c r="R10" t="s">
        <v>129</v>
      </c>
      <c r="S10" t="s">
        <v>173</v>
      </c>
      <c r="T10" t="s">
        <v>129</v>
      </c>
      <c r="U10" t="s">
        <v>189</v>
      </c>
      <c r="V10" t="s">
        <v>129</v>
      </c>
      <c r="W10" t="s">
        <v>129</v>
      </c>
      <c r="X10">
        <v>5760</v>
      </c>
      <c r="Y10">
        <v>400</v>
      </c>
      <c r="Z10" t="b">
        <v>0</v>
      </c>
      <c r="AA10" t="s">
        <v>129</v>
      </c>
      <c r="AB10" t="s">
        <v>135</v>
      </c>
      <c r="AC10" t="s">
        <v>129</v>
      </c>
      <c r="AD10" t="s">
        <v>136</v>
      </c>
      <c r="AE10" t="s">
        <v>129</v>
      </c>
      <c r="AF10" t="b">
        <v>0</v>
      </c>
      <c r="AG10" t="s">
        <v>137</v>
      </c>
      <c r="AH10" t="s">
        <v>129</v>
      </c>
      <c r="AI10" t="b">
        <v>0</v>
      </c>
      <c r="AJ10" t="s">
        <v>129</v>
      </c>
      <c r="AK10" t="s">
        <v>129</v>
      </c>
      <c r="AL10" t="s">
        <v>129</v>
      </c>
      <c r="AM10">
        <v>0</v>
      </c>
      <c r="AN10" t="s">
        <v>129</v>
      </c>
      <c r="AO10" t="s">
        <v>138</v>
      </c>
      <c r="AP10" t="s">
        <v>129</v>
      </c>
      <c r="AQ10" t="s">
        <v>176</v>
      </c>
      <c r="AR10" t="s">
        <v>140</v>
      </c>
      <c r="AS10" t="s">
        <v>141</v>
      </c>
      <c r="AT10" t="s">
        <v>129</v>
      </c>
      <c r="AU10" t="s">
        <v>142</v>
      </c>
      <c r="AV10" t="s">
        <v>129</v>
      </c>
      <c r="AW10" t="s">
        <v>16</v>
      </c>
      <c r="AX10" t="s">
        <v>129</v>
      </c>
      <c r="AY10" t="s">
        <v>143</v>
      </c>
      <c r="AZ10" t="s">
        <v>143</v>
      </c>
      <c r="BA10" t="s">
        <v>190</v>
      </c>
      <c r="BB10" t="s">
        <v>191</v>
      </c>
      <c r="BC10" t="s">
        <v>192</v>
      </c>
      <c r="BD10" t="s">
        <v>193</v>
      </c>
      <c r="BE10" t="s">
        <v>148</v>
      </c>
      <c r="BF10" t="s">
        <v>149</v>
      </c>
      <c r="BG10" t="s">
        <v>150</v>
      </c>
      <c r="BH10" t="s">
        <v>151</v>
      </c>
      <c r="BI10" t="s">
        <v>152</v>
      </c>
      <c r="BJ10" t="s">
        <v>129</v>
      </c>
      <c r="BK10" t="s">
        <v>129</v>
      </c>
      <c r="BL10" t="s">
        <v>143</v>
      </c>
    </row>
    <row r="11" spans="1:65" x14ac:dyDescent="0.25">
      <c r="A11" t="s">
        <v>124</v>
      </c>
      <c r="B11">
        <v>3</v>
      </c>
      <c r="C11" t="s">
        <v>187</v>
      </c>
      <c r="D11" t="s">
        <v>126</v>
      </c>
      <c r="E11" t="s">
        <v>127</v>
      </c>
      <c r="F11" t="s">
        <v>171</v>
      </c>
      <c r="G11" t="s">
        <v>129</v>
      </c>
      <c r="H11" t="s">
        <v>60</v>
      </c>
      <c r="I11" t="s">
        <v>181</v>
      </c>
      <c r="J11">
        <v>200</v>
      </c>
      <c r="K11" t="s">
        <v>188</v>
      </c>
      <c r="L11" t="s">
        <v>131</v>
      </c>
      <c r="M11">
        <v>80560</v>
      </c>
      <c r="N11">
        <v>16112000</v>
      </c>
      <c r="O11">
        <v>0</v>
      </c>
      <c r="P11">
        <v>0</v>
      </c>
      <c r="Q11">
        <v>0.1</v>
      </c>
      <c r="R11" t="s">
        <v>129</v>
      </c>
      <c r="S11" t="s">
        <v>173</v>
      </c>
      <c r="T11" t="s">
        <v>129</v>
      </c>
      <c r="U11" t="s">
        <v>194</v>
      </c>
      <c r="V11" t="s">
        <v>129</v>
      </c>
      <c r="W11" t="s">
        <v>129</v>
      </c>
      <c r="X11">
        <v>720</v>
      </c>
      <c r="Y11">
        <v>50</v>
      </c>
      <c r="Z11" t="b">
        <v>0</v>
      </c>
      <c r="AA11" t="s">
        <v>129</v>
      </c>
      <c r="AB11" t="s">
        <v>135</v>
      </c>
      <c r="AC11" t="s">
        <v>129</v>
      </c>
      <c r="AD11" t="s">
        <v>136</v>
      </c>
      <c r="AE11" t="s">
        <v>129</v>
      </c>
      <c r="AF11" t="b">
        <v>0</v>
      </c>
      <c r="AG11" t="s">
        <v>137</v>
      </c>
      <c r="AH11" t="s">
        <v>129</v>
      </c>
      <c r="AI11" t="b">
        <v>0</v>
      </c>
      <c r="AJ11" t="s">
        <v>129</v>
      </c>
      <c r="AK11" t="s">
        <v>129</v>
      </c>
      <c r="AL11" t="s">
        <v>129</v>
      </c>
      <c r="AM11">
        <v>0</v>
      </c>
      <c r="AN11" t="s">
        <v>129</v>
      </c>
      <c r="AO11" t="s">
        <v>138</v>
      </c>
      <c r="AP11" t="s">
        <v>129</v>
      </c>
      <c r="AQ11" t="s">
        <v>176</v>
      </c>
      <c r="AR11" t="s">
        <v>140</v>
      </c>
      <c r="AS11" t="s">
        <v>141</v>
      </c>
      <c r="AT11" t="s">
        <v>129</v>
      </c>
      <c r="AU11" t="s">
        <v>142</v>
      </c>
      <c r="AV11" t="s">
        <v>129</v>
      </c>
      <c r="AW11" t="s">
        <v>16</v>
      </c>
      <c r="AX11" t="s">
        <v>129</v>
      </c>
      <c r="AY11" t="s">
        <v>143</v>
      </c>
      <c r="AZ11" t="s">
        <v>143</v>
      </c>
      <c r="BA11" t="s">
        <v>183</v>
      </c>
      <c r="BB11" t="s">
        <v>184</v>
      </c>
      <c r="BC11" t="s">
        <v>185</v>
      </c>
      <c r="BD11" t="s">
        <v>186</v>
      </c>
      <c r="BE11" t="s">
        <v>148</v>
      </c>
      <c r="BF11" t="s">
        <v>149</v>
      </c>
      <c r="BG11" t="s">
        <v>150</v>
      </c>
      <c r="BH11" t="s">
        <v>151</v>
      </c>
      <c r="BI11" t="s">
        <v>152</v>
      </c>
      <c r="BJ11" t="s">
        <v>129</v>
      </c>
      <c r="BK11" t="s">
        <v>129</v>
      </c>
      <c r="BL11" t="s">
        <v>143</v>
      </c>
    </row>
    <row r="12" spans="1:65" x14ac:dyDescent="0.25">
      <c r="A12" t="s">
        <v>124</v>
      </c>
      <c r="B12">
        <v>3</v>
      </c>
      <c r="C12" t="s">
        <v>195</v>
      </c>
      <c r="D12" t="s">
        <v>126</v>
      </c>
      <c r="E12" t="s">
        <v>127</v>
      </c>
      <c r="F12" t="s">
        <v>128</v>
      </c>
      <c r="G12" t="s">
        <v>129</v>
      </c>
      <c r="H12" t="s">
        <v>37</v>
      </c>
      <c r="I12" t="s">
        <v>24</v>
      </c>
      <c r="J12">
        <v>456</v>
      </c>
      <c r="K12" t="s">
        <v>196</v>
      </c>
      <c r="L12" t="s">
        <v>131</v>
      </c>
      <c r="M12">
        <v>53647</v>
      </c>
      <c r="N12">
        <v>24463032</v>
      </c>
      <c r="O12">
        <v>0</v>
      </c>
      <c r="P12">
        <v>0</v>
      </c>
      <c r="Q12">
        <v>0.1</v>
      </c>
      <c r="R12" t="s">
        <v>129</v>
      </c>
      <c r="S12" t="s">
        <v>133</v>
      </c>
      <c r="T12" t="s">
        <v>129</v>
      </c>
      <c r="U12" t="s">
        <v>197</v>
      </c>
      <c r="V12" t="s">
        <v>129</v>
      </c>
      <c r="W12" t="s">
        <v>129</v>
      </c>
      <c r="X12">
        <v>812.59</v>
      </c>
      <c r="Y12">
        <v>57</v>
      </c>
      <c r="Z12" t="b">
        <v>0</v>
      </c>
      <c r="AA12" t="s">
        <v>129</v>
      </c>
      <c r="AB12" t="s">
        <v>135</v>
      </c>
      <c r="AC12" t="s">
        <v>129</v>
      </c>
      <c r="AD12" t="s">
        <v>136</v>
      </c>
      <c r="AE12" t="s">
        <v>129</v>
      </c>
      <c r="AF12" t="b">
        <v>0</v>
      </c>
      <c r="AG12" t="s">
        <v>137</v>
      </c>
      <c r="AH12" t="s">
        <v>129</v>
      </c>
      <c r="AI12" t="b">
        <v>0</v>
      </c>
      <c r="AJ12" t="s">
        <v>129</v>
      </c>
      <c r="AK12" t="s">
        <v>129</v>
      </c>
      <c r="AL12" t="s">
        <v>129</v>
      </c>
      <c r="AM12">
        <v>0</v>
      </c>
      <c r="AN12" t="s">
        <v>129</v>
      </c>
      <c r="AO12" t="s">
        <v>154</v>
      </c>
      <c r="AP12" t="s">
        <v>129</v>
      </c>
      <c r="AQ12" t="s">
        <v>139</v>
      </c>
      <c r="AR12" t="s">
        <v>140</v>
      </c>
      <c r="AS12" t="s">
        <v>141</v>
      </c>
      <c r="AT12" t="s">
        <v>129</v>
      </c>
      <c r="AU12" t="s">
        <v>142</v>
      </c>
      <c r="AV12" t="s">
        <v>129</v>
      </c>
      <c r="AW12" t="s">
        <v>13</v>
      </c>
      <c r="AX12" t="s">
        <v>129</v>
      </c>
      <c r="AY12" t="s">
        <v>143</v>
      </c>
      <c r="AZ12" t="s">
        <v>143</v>
      </c>
      <c r="BA12" t="s">
        <v>155</v>
      </c>
      <c r="BB12" t="s">
        <v>156</v>
      </c>
      <c r="BC12" t="s">
        <v>157</v>
      </c>
      <c r="BD12" t="s">
        <v>158</v>
      </c>
      <c r="BE12" t="s">
        <v>148</v>
      </c>
      <c r="BF12" t="s">
        <v>149</v>
      </c>
      <c r="BG12" t="s">
        <v>150</v>
      </c>
      <c r="BH12" t="s">
        <v>151</v>
      </c>
      <c r="BI12" t="s">
        <v>152</v>
      </c>
      <c r="BJ12" t="s">
        <v>129</v>
      </c>
      <c r="BK12" t="s">
        <v>129</v>
      </c>
      <c r="BL12" t="s">
        <v>143</v>
      </c>
    </row>
    <row r="13" spans="1:65" x14ac:dyDescent="0.25">
      <c r="A13" t="s">
        <v>124</v>
      </c>
      <c r="B13">
        <v>3</v>
      </c>
      <c r="C13" t="s">
        <v>198</v>
      </c>
      <c r="D13" t="s">
        <v>126</v>
      </c>
      <c r="E13" t="s">
        <v>127</v>
      </c>
      <c r="F13" t="s">
        <v>164</v>
      </c>
      <c r="G13" t="s">
        <v>129</v>
      </c>
      <c r="H13" t="s">
        <v>37</v>
      </c>
      <c r="I13" t="s">
        <v>24</v>
      </c>
      <c r="J13">
        <v>24</v>
      </c>
      <c r="K13" t="s">
        <v>199</v>
      </c>
      <c r="L13" t="s">
        <v>131</v>
      </c>
      <c r="M13">
        <v>38878</v>
      </c>
      <c r="N13">
        <v>933072</v>
      </c>
      <c r="O13">
        <v>0</v>
      </c>
      <c r="P13">
        <v>0</v>
      </c>
      <c r="Q13">
        <v>0</v>
      </c>
      <c r="R13" t="s">
        <v>200</v>
      </c>
      <c r="S13" t="s">
        <v>133</v>
      </c>
      <c r="T13" t="s">
        <v>37</v>
      </c>
      <c r="U13" t="s">
        <v>201</v>
      </c>
      <c r="V13" t="s">
        <v>197</v>
      </c>
      <c r="W13" t="s">
        <v>202</v>
      </c>
      <c r="X13">
        <v>42.77</v>
      </c>
      <c r="Y13">
        <v>3</v>
      </c>
      <c r="Z13" t="b">
        <v>0</v>
      </c>
      <c r="AA13" t="s">
        <v>129</v>
      </c>
      <c r="AB13" t="s">
        <v>135</v>
      </c>
      <c r="AC13" t="s">
        <v>129</v>
      </c>
      <c r="AD13" t="s">
        <v>136</v>
      </c>
      <c r="AE13" t="s">
        <v>129</v>
      </c>
      <c r="AF13" t="b">
        <v>0</v>
      </c>
      <c r="AG13" t="s">
        <v>137</v>
      </c>
      <c r="AH13" t="s">
        <v>129</v>
      </c>
      <c r="AI13" t="b">
        <v>0</v>
      </c>
      <c r="AJ13" t="s">
        <v>129</v>
      </c>
      <c r="AK13" t="s">
        <v>203</v>
      </c>
      <c r="AL13" t="s">
        <v>129</v>
      </c>
      <c r="AM13">
        <v>0</v>
      </c>
      <c r="AN13" t="s">
        <v>129</v>
      </c>
      <c r="AO13" t="s">
        <v>154</v>
      </c>
      <c r="AP13" t="s">
        <v>129</v>
      </c>
      <c r="AQ13" t="s">
        <v>139</v>
      </c>
      <c r="AR13" t="s">
        <v>140</v>
      </c>
      <c r="AS13" t="s">
        <v>141</v>
      </c>
      <c r="AT13" t="s">
        <v>129</v>
      </c>
      <c r="AU13" t="s">
        <v>142</v>
      </c>
      <c r="AV13" t="s">
        <v>129</v>
      </c>
      <c r="AW13" t="s">
        <v>13</v>
      </c>
      <c r="AX13" t="s">
        <v>129</v>
      </c>
      <c r="AY13" t="s">
        <v>143</v>
      </c>
      <c r="AZ13" t="s">
        <v>143</v>
      </c>
      <c r="BA13" t="s">
        <v>155</v>
      </c>
      <c r="BB13" t="s">
        <v>156</v>
      </c>
      <c r="BC13" t="s">
        <v>157</v>
      </c>
      <c r="BD13" t="s">
        <v>158</v>
      </c>
      <c r="BE13" t="s">
        <v>148</v>
      </c>
      <c r="BF13" t="s">
        <v>149</v>
      </c>
      <c r="BG13" t="s">
        <v>150</v>
      </c>
      <c r="BH13" t="s">
        <v>151</v>
      </c>
      <c r="BI13" t="s">
        <v>152</v>
      </c>
      <c r="BJ13" t="s">
        <v>129</v>
      </c>
      <c r="BK13" t="s">
        <v>129</v>
      </c>
      <c r="BL13" t="s">
        <v>143</v>
      </c>
    </row>
    <row r="14" spans="1:65" x14ac:dyDescent="0.25">
      <c r="A14" t="s">
        <v>124</v>
      </c>
      <c r="B14">
        <v>4</v>
      </c>
      <c r="C14" t="s">
        <v>204</v>
      </c>
      <c r="D14" t="s">
        <v>126</v>
      </c>
      <c r="E14" t="s">
        <v>127</v>
      </c>
      <c r="F14" t="s">
        <v>128</v>
      </c>
      <c r="G14" t="s">
        <v>129</v>
      </c>
      <c r="H14" t="s">
        <v>29</v>
      </c>
      <c r="I14" t="s">
        <v>21</v>
      </c>
      <c r="J14">
        <v>1320</v>
      </c>
      <c r="K14" t="s">
        <v>205</v>
      </c>
      <c r="L14" t="s">
        <v>131</v>
      </c>
      <c r="M14">
        <v>48136</v>
      </c>
      <c r="N14">
        <v>63539520</v>
      </c>
      <c r="O14">
        <v>0</v>
      </c>
      <c r="P14">
        <v>0</v>
      </c>
      <c r="Q14">
        <v>0.1</v>
      </c>
      <c r="R14" t="s">
        <v>129</v>
      </c>
      <c r="S14" t="s">
        <v>206</v>
      </c>
      <c r="T14" t="s">
        <v>129</v>
      </c>
      <c r="U14" t="s">
        <v>207</v>
      </c>
      <c r="V14" t="s">
        <v>129</v>
      </c>
      <c r="W14" t="s">
        <v>129</v>
      </c>
      <c r="X14">
        <v>2745.6</v>
      </c>
      <c r="Y14">
        <v>165</v>
      </c>
      <c r="Z14" t="b">
        <v>0</v>
      </c>
      <c r="AA14" t="s">
        <v>129</v>
      </c>
      <c r="AB14" t="s">
        <v>135</v>
      </c>
      <c r="AC14" t="s">
        <v>129</v>
      </c>
      <c r="AD14" t="s">
        <v>136</v>
      </c>
      <c r="AE14" t="s">
        <v>129</v>
      </c>
      <c r="AF14" t="b">
        <v>0</v>
      </c>
      <c r="AG14" t="s">
        <v>208</v>
      </c>
      <c r="AH14" t="s">
        <v>129</v>
      </c>
      <c r="AI14" t="b">
        <v>0</v>
      </c>
      <c r="AJ14" t="s">
        <v>129</v>
      </c>
      <c r="AK14" t="s">
        <v>209</v>
      </c>
      <c r="AL14" t="s">
        <v>129</v>
      </c>
      <c r="AM14">
        <v>0</v>
      </c>
      <c r="AN14" t="s">
        <v>129</v>
      </c>
      <c r="AO14" t="s">
        <v>154</v>
      </c>
      <c r="AP14" t="s">
        <v>129</v>
      </c>
      <c r="AQ14" t="s">
        <v>210</v>
      </c>
      <c r="AR14" t="s">
        <v>140</v>
      </c>
      <c r="AS14" t="s">
        <v>141</v>
      </c>
      <c r="AT14" t="s">
        <v>129</v>
      </c>
      <c r="AU14" t="s">
        <v>142</v>
      </c>
      <c r="AV14" t="s">
        <v>129</v>
      </c>
      <c r="AW14" t="s">
        <v>11</v>
      </c>
      <c r="AX14" t="s">
        <v>129</v>
      </c>
      <c r="AY14" t="s">
        <v>143</v>
      </c>
      <c r="AZ14" t="s">
        <v>143</v>
      </c>
      <c r="BA14" t="s">
        <v>211</v>
      </c>
      <c r="BB14" t="s">
        <v>212</v>
      </c>
      <c r="BC14" t="s">
        <v>213</v>
      </c>
      <c r="BD14" t="s">
        <v>214</v>
      </c>
      <c r="BE14" t="s">
        <v>148</v>
      </c>
      <c r="BF14" t="s">
        <v>149</v>
      </c>
      <c r="BG14" t="s">
        <v>150</v>
      </c>
      <c r="BH14" t="s">
        <v>151</v>
      </c>
      <c r="BI14" t="s">
        <v>152</v>
      </c>
      <c r="BJ14" t="s">
        <v>129</v>
      </c>
      <c r="BK14" t="s">
        <v>129</v>
      </c>
      <c r="BL14" t="s">
        <v>143</v>
      </c>
    </row>
    <row r="15" spans="1:65" x14ac:dyDescent="0.25">
      <c r="A15" t="s">
        <v>124</v>
      </c>
      <c r="B15">
        <v>4</v>
      </c>
      <c r="C15" t="s">
        <v>215</v>
      </c>
      <c r="D15" t="s">
        <v>126</v>
      </c>
      <c r="E15" t="s">
        <v>127</v>
      </c>
      <c r="F15" t="s">
        <v>164</v>
      </c>
      <c r="G15" t="s">
        <v>129</v>
      </c>
      <c r="H15" t="s">
        <v>29</v>
      </c>
      <c r="I15" t="s">
        <v>21</v>
      </c>
      <c r="J15">
        <v>88</v>
      </c>
      <c r="K15" t="s">
        <v>216</v>
      </c>
      <c r="L15" t="s">
        <v>131</v>
      </c>
      <c r="M15">
        <v>38594</v>
      </c>
      <c r="N15">
        <v>3396272</v>
      </c>
      <c r="O15">
        <v>0</v>
      </c>
      <c r="P15">
        <v>0</v>
      </c>
      <c r="Q15">
        <v>0</v>
      </c>
      <c r="R15" t="s">
        <v>129</v>
      </c>
      <c r="S15" t="s">
        <v>206</v>
      </c>
      <c r="T15" t="s">
        <v>29</v>
      </c>
      <c r="U15" t="s">
        <v>217</v>
      </c>
      <c r="V15" t="s">
        <v>207</v>
      </c>
      <c r="W15" t="s">
        <v>202</v>
      </c>
      <c r="X15">
        <v>183.04</v>
      </c>
      <c r="Y15">
        <v>11</v>
      </c>
      <c r="Z15" t="b">
        <v>0</v>
      </c>
      <c r="AA15" t="s">
        <v>129</v>
      </c>
      <c r="AB15" t="s">
        <v>135</v>
      </c>
      <c r="AC15" t="s">
        <v>129</v>
      </c>
      <c r="AD15" t="s">
        <v>136</v>
      </c>
      <c r="AE15" t="s">
        <v>129</v>
      </c>
      <c r="AF15" t="b">
        <v>0</v>
      </c>
      <c r="AG15" t="s">
        <v>208</v>
      </c>
      <c r="AH15" t="s">
        <v>129</v>
      </c>
      <c r="AI15" t="b">
        <v>0</v>
      </c>
      <c r="AJ15" t="s">
        <v>129</v>
      </c>
      <c r="AK15" t="s">
        <v>129</v>
      </c>
      <c r="AL15" t="s">
        <v>129</v>
      </c>
      <c r="AM15">
        <v>0</v>
      </c>
      <c r="AN15" t="s">
        <v>129</v>
      </c>
      <c r="AO15" t="s">
        <v>154</v>
      </c>
      <c r="AP15" t="s">
        <v>129</v>
      </c>
      <c r="AQ15" t="s">
        <v>210</v>
      </c>
      <c r="AR15" t="s">
        <v>140</v>
      </c>
      <c r="AS15" t="s">
        <v>141</v>
      </c>
      <c r="AT15" t="s">
        <v>129</v>
      </c>
      <c r="AU15" t="s">
        <v>142</v>
      </c>
      <c r="AV15" t="s">
        <v>129</v>
      </c>
      <c r="AW15" t="s">
        <v>11</v>
      </c>
      <c r="AX15" t="s">
        <v>129</v>
      </c>
      <c r="AY15" t="s">
        <v>143</v>
      </c>
      <c r="AZ15" t="s">
        <v>143</v>
      </c>
      <c r="BA15" t="s">
        <v>211</v>
      </c>
      <c r="BB15" t="s">
        <v>212</v>
      </c>
      <c r="BC15" t="s">
        <v>213</v>
      </c>
      <c r="BD15" t="s">
        <v>214</v>
      </c>
      <c r="BE15" t="s">
        <v>148</v>
      </c>
      <c r="BF15" t="s">
        <v>149</v>
      </c>
      <c r="BG15" t="s">
        <v>150</v>
      </c>
      <c r="BH15" t="s">
        <v>151</v>
      </c>
      <c r="BI15" t="s">
        <v>152</v>
      </c>
      <c r="BJ15" t="s">
        <v>129</v>
      </c>
      <c r="BK15" t="s">
        <v>129</v>
      </c>
      <c r="BL15" t="s">
        <v>143</v>
      </c>
    </row>
    <row r="16" spans="1:65" x14ac:dyDescent="0.25">
      <c r="A16" t="s">
        <v>124</v>
      </c>
      <c r="B16">
        <v>4</v>
      </c>
      <c r="C16" t="s">
        <v>218</v>
      </c>
      <c r="D16" t="s">
        <v>126</v>
      </c>
      <c r="E16" t="s">
        <v>127</v>
      </c>
      <c r="F16" t="s">
        <v>128</v>
      </c>
      <c r="G16" t="s">
        <v>129</v>
      </c>
      <c r="H16" t="s">
        <v>49</v>
      </c>
      <c r="I16" t="s">
        <v>219</v>
      </c>
      <c r="J16">
        <v>1440</v>
      </c>
      <c r="K16" t="s">
        <v>220</v>
      </c>
      <c r="L16" t="s">
        <v>131</v>
      </c>
      <c r="M16">
        <v>11904</v>
      </c>
      <c r="N16">
        <v>17141760</v>
      </c>
      <c r="O16">
        <v>0</v>
      </c>
      <c r="P16">
        <v>0</v>
      </c>
      <c r="Q16">
        <v>0.1</v>
      </c>
      <c r="R16" t="s">
        <v>221</v>
      </c>
      <c r="S16" t="s">
        <v>222</v>
      </c>
      <c r="T16" t="s">
        <v>129</v>
      </c>
      <c r="U16" t="s">
        <v>223</v>
      </c>
      <c r="V16" t="s">
        <v>129</v>
      </c>
      <c r="W16" t="s">
        <v>129</v>
      </c>
      <c r="X16">
        <v>1175.04</v>
      </c>
      <c r="Y16">
        <v>120</v>
      </c>
      <c r="Z16" t="b">
        <v>0</v>
      </c>
      <c r="AA16" t="s">
        <v>129</v>
      </c>
      <c r="AB16" t="s">
        <v>135</v>
      </c>
      <c r="AC16" t="s">
        <v>129</v>
      </c>
      <c r="AD16" t="s">
        <v>136</v>
      </c>
      <c r="AE16" t="s">
        <v>129</v>
      </c>
      <c r="AF16" t="b">
        <v>0</v>
      </c>
      <c r="AG16" t="s">
        <v>137</v>
      </c>
      <c r="AH16" t="s">
        <v>129</v>
      </c>
      <c r="AI16" t="b">
        <v>0</v>
      </c>
      <c r="AJ16" t="s">
        <v>129</v>
      </c>
      <c r="AK16" t="s">
        <v>129</v>
      </c>
      <c r="AL16" t="s">
        <v>129</v>
      </c>
      <c r="AM16">
        <v>0</v>
      </c>
      <c r="AN16" t="s">
        <v>129</v>
      </c>
      <c r="AO16" t="s">
        <v>224</v>
      </c>
      <c r="AP16" t="s">
        <v>129</v>
      </c>
      <c r="AQ16" t="s">
        <v>225</v>
      </c>
      <c r="AR16" t="s">
        <v>140</v>
      </c>
      <c r="AS16" t="s">
        <v>141</v>
      </c>
      <c r="AT16" t="s">
        <v>129</v>
      </c>
      <c r="AU16" t="s">
        <v>142</v>
      </c>
      <c r="AV16" t="s">
        <v>129</v>
      </c>
      <c r="AW16" t="s">
        <v>14</v>
      </c>
      <c r="AX16" t="s">
        <v>129</v>
      </c>
      <c r="AY16" t="s">
        <v>143</v>
      </c>
      <c r="AZ16" t="s">
        <v>143</v>
      </c>
      <c r="BA16" t="s">
        <v>226</v>
      </c>
      <c r="BB16" t="s">
        <v>227</v>
      </c>
      <c r="BC16" t="s">
        <v>146</v>
      </c>
      <c r="BD16" t="s">
        <v>147</v>
      </c>
      <c r="BE16" t="s">
        <v>148</v>
      </c>
      <c r="BF16" t="s">
        <v>149</v>
      </c>
      <c r="BG16" t="s">
        <v>150</v>
      </c>
      <c r="BH16" t="s">
        <v>151</v>
      </c>
      <c r="BI16" t="s">
        <v>152</v>
      </c>
      <c r="BJ16" t="s">
        <v>129</v>
      </c>
      <c r="BK16" t="s">
        <v>129</v>
      </c>
      <c r="BL16" t="s">
        <v>143</v>
      </c>
    </row>
    <row r="17" spans="1:64" x14ac:dyDescent="0.25">
      <c r="A17" t="s">
        <v>124</v>
      </c>
      <c r="B17">
        <v>4</v>
      </c>
      <c r="C17" t="s">
        <v>218</v>
      </c>
      <c r="D17" t="s">
        <v>126</v>
      </c>
      <c r="E17" t="s">
        <v>127</v>
      </c>
      <c r="F17" t="s">
        <v>128</v>
      </c>
      <c r="G17" t="s">
        <v>129</v>
      </c>
      <c r="H17" t="s">
        <v>51</v>
      </c>
      <c r="I17" t="s">
        <v>228</v>
      </c>
      <c r="J17">
        <v>480</v>
      </c>
      <c r="K17" t="s">
        <v>220</v>
      </c>
      <c r="L17" t="s">
        <v>131</v>
      </c>
      <c r="M17">
        <v>11337</v>
      </c>
      <c r="N17">
        <v>5441760</v>
      </c>
      <c r="O17">
        <v>0</v>
      </c>
      <c r="P17">
        <v>0</v>
      </c>
      <c r="Q17">
        <v>0.1</v>
      </c>
      <c r="R17" t="s">
        <v>221</v>
      </c>
      <c r="S17" t="s">
        <v>222</v>
      </c>
      <c r="T17" t="s">
        <v>129</v>
      </c>
      <c r="U17" t="s">
        <v>229</v>
      </c>
      <c r="V17" t="s">
        <v>129</v>
      </c>
      <c r="W17" t="s">
        <v>129</v>
      </c>
      <c r="X17">
        <v>391.68</v>
      </c>
      <c r="Y17">
        <v>40</v>
      </c>
      <c r="Z17" t="b">
        <v>0</v>
      </c>
      <c r="AA17" t="s">
        <v>129</v>
      </c>
      <c r="AB17" t="s">
        <v>135</v>
      </c>
      <c r="AC17" t="s">
        <v>129</v>
      </c>
      <c r="AD17" t="s">
        <v>136</v>
      </c>
      <c r="AE17" t="s">
        <v>129</v>
      </c>
      <c r="AF17" t="b">
        <v>0</v>
      </c>
      <c r="AG17" t="s">
        <v>137</v>
      </c>
      <c r="AH17" t="s">
        <v>129</v>
      </c>
      <c r="AI17" t="b">
        <v>0</v>
      </c>
      <c r="AJ17" t="s">
        <v>129</v>
      </c>
      <c r="AK17" t="s">
        <v>129</v>
      </c>
      <c r="AL17" t="s">
        <v>129</v>
      </c>
      <c r="AM17">
        <v>0</v>
      </c>
      <c r="AN17" t="s">
        <v>129</v>
      </c>
      <c r="AO17" t="s">
        <v>224</v>
      </c>
      <c r="AP17" t="s">
        <v>129</v>
      </c>
      <c r="AQ17" t="s">
        <v>225</v>
      </c>
      <c r="AR17" t="s">
        <v>140</v>
      </c>
      <c r="AS17" t="s">
        <v>141</v>
      </c>
      <c r="AT17" t="s">
        <v>129</v>
      </c>
      <c r="AU17" t="s">
        <v>142</v>
      </c>
      <c r="AV17" t="s">
        <v>129</v>
      </c>
      <c r="AW17" t="s">
        <v>14</v>
      </c>
      <c r="AX17" t="s">
        <v>129</v>
      </c>
      <c r="AY17" t="s">
        <v>143</v>
      </c>
      <c r="AZ17" t="s">
        <v>143</v>
      </c>
      <c r="BA17" t="s">
        <v>226</v>
      </c>
      <c r="BB17" t="s">
        <v>227</v>
      </c>
      <c r="BC17" t="s">
        <v>146</v>
      </c>
      <c r="BD17" t="s">
        <v>147</v>
      </c>
      <c r="BE17" t="s">
        <v>148</v>
      </c>
      <c r="BF17" t="s">
        <v>149</v>
      </c>
      <c r="BG17" t="s">
        <v>150</v>
      </c>
      <c r="BH17" t="s">
        <v>151</v>
      </c>
      <c r="BI17" t="s">
        <v>152</v>
      </c>
      <c r="BJ17" t="s">
        <v>129</v>
      </c>
      <c r="BK17" t="s">
        <v>129</v>
      </c>
      <c r="BL17" t="s">
        <v>143</v>
      </c>
    </row>
    <row r="18" spans="1:64" x14ac:dyDescent="0.25">
      <c r="A18" t="s">
        <v>124</v>
      </c>
      <c r="B18">
        <v>4</v>
      </c>
      <c r="C18" t="s">
        <v>230</v>
      </c>
      <c r="D18" t="s">
        <v>126</v>
      </c>
      <c r="E18" t="s">
        <v>127</v>
      </c>
      <c r="F18" t="s">
        <v>128</v>
      </c>
      <c r="G18" t="s">
        <v>129</v>
      </c>
      <c r="H18" t="s">
        <v>29</v>
      </c>
      <c r="I18" t="s">
        <v>21</v>
      </c>
      <c r="J18">
        <v>480</v>
      </c>
      <c r="K18" t="s">
        <v>231</v>
      </c>
      <c r="L18" t="s">
        <v>131</v>
      </c>
      <c r="M18">
        <v>48136</v>
      </c>
      <c r="N18">
        <v>23105280</v>
      </c>
      <c r="O18">
        <v>0</v>
      </c>
      <c r="P18">
        <v>0</v>
      </c>
      <c r="Q18">
        <v>0.1</v>
      </c>
      <c r="R18" t="s">
        <v>232</v>
      </c>
      <c r="S18" t="s">
        <v>133</v>
      </c>
      <c r="T18" t="s">
        <v>129</v>
      </c>
      <c r="U18" t="s">
        <v>233</v>
      </c>
      <c r="V18" t="s">
        <v>129</v>
      </c>
      <c r="W18" t="s">
        <v>129</v>
      </c>
      <c r="X18">
        <v>998.4</v>
      </c>
      <c r="Y18">
        <v>60</v>
      </c>
      <c r="Z18" t="b">
        <v>0</v>
      </c>
      <c r="AA18" t="s">
        <v>129</v>
      </c>
      <c r="AB18" t="s">
        <v>135</v>
      </c>
      <c r="AC18" t="s">
        <v>129</v>
      </c>
      <c r="AD18" t="s">
        <v>136</v>
      </c>
      <c r="AE18" t="s">
        <v>129</v>
      </c>
      <c r="AF18" t="b">
        <v>0</v>
      </c>
      <c r="AG18" t="s">
        <v>137</v>
      </c>
      <c r="AH18" t="s">
        <v>129</v>
      </c>
      <c r="AI18" t="b">
        <v>0</v>
      </c>
      <c r="AJ18" t="s">
        <v>129</v>
      </c>
      <c r="AK18" t="s">
        <v>129</v>
      </c>
      <c r="AL18" t="s">
        <v>129</v>
      </c>
      <c r="AM18">
        <v>0</v>
      </c>
      <c r="AN18" t="s">
        <v>129</v>
      </c>
      <c r="AO18" t="s">
        <v>154</v>
      </c>
      <c r="AP18" t="s">
        <v>129</v>
      </c>
      <c r="AQ18" t="s">
        <v>139</v>
      </c>
      <c r="AR18" t="s">
        <v>140</v>
      </c>
      <c r="AS18" t="s">
        <v>141</v>
      </c>
      <c r="AT18" t="s">
        <v>129</v>
      </c>
      <c r="AU18" t="s">
        <v>142</v>
      </c>
      <c r="AV18" t="s">
        <v>129</v>
      </c>
      <c r="AW18" t="s">
        <v>13</v>
      </c>
      <c r="AX18" t="s">
        <v>129</v>
      </c>
      <c r="AY18" t="s">
        <v>143</v>
      </c>
      <c r="AZ18" t="s">
        <v>143</v>
      </c>
      <c r="BA18" t="s">
        <v>211</v>
      </c>
      <c r="BB18" t="s">
        <v>212</v>
      </c>
      <c r="BC18" t="s">
        <v>213</v>
      </c>
      <c r="BD18" t="s">
        <v>214</v>
      </c>
      <c r="BE18" t="s">
        <v>148</v>
      </c>
      <c r="BF18" t="s">
        <v>149</v>
      </c>
      <c r="BG18" t="s">
        <v>150</v>
      </c>
      <c r="BH18" t="s">
        <v>151</v>
      </c>
      <c r="BI18" t="s">
        <v>152</v>
      </c>
      <c r="BJ18" t="s">
        <v>129</v>
      </c>
      <c r="BK18" t="s">
        <v>129</v>
      </c>
      <c r="BL18" t="s">
        <v>143</v>
      </c>
    </row>
    <row r="19" spans="1:64" x14ac:dyDescent="0.25">
      <c r="A19" t="s">
        <v>124</v>
      </c>
      <c r="B19">
        <v>4</v>
      </c>
      <c r="C19" t="s">
        <v>234</v>
      </c>
      <c r="D19" t="s">
        <v>126</v>
      </c>
      <c r="E19" t="s">
        <v>127</v>
      </c>
      <c r="F19" t="s">
        <v>164</v>
      </c>
      <c r="G19" t="s">
        <v>129</v>
      </c>
      <c r="H19" t="s">
        <v>29</v>
      </c>
      <c r="I19" t="s">
        <v>21</v>
      </c>
      <c r="J19">
        <v>32</v>
      </c>
      <c r="K19" t="s">
        <v>235</v>
      </c>
      <c r="L19" t="s">
        <v>131</v>
      </c>
      <c r="M19">
        <v>38594</v>
      </c>
      <c r="N19">
        <v>1235008</v>
      </c>
      <c r="O19">
        <v>0</v>
      </c>
      <c r="P19">
        <v>0</v>
      </c>
      <c r="Q19">
        <v>0</v>
      </c>
      <c r="R19" t="s">
        <v>129</v>
      </c>
      <c r="S19" t="s">
        <v>133</v>
      </c>
      <c r="T19" t="s">
        <v>29</v>
      </c>
      <c r="U19" t="s">
        <v>236</v>
      </c>
      <c r="V19" t="s">
        <v>233</v>
      </c>
      <c r="W19" t="s">
        <v>202</v>
      </c>
      <c r="X19">
        <v>66.56</v>
      </c>
      <c r="Y19">
        <v>4</v>
      </c>
      <c r="Z19" t="b">
        <v>0</v>
      </c>
      <c r="AA19" t="s">
        <v>129</v>
      </c>
      <c r="AB19" t="s">
        <v>135</v>
      </c>
      <c r="AC19" t="s">
        <v>129</v>
      </c>
      <c r="AD19" t="s">
        <v>136</v>
      </c>
      <c r="AE19" t="s">
        <v>129</v>
      </c>
      <c r="AF19" t="b">
        <v>0</v>
      </c>
      <c r="AG19" t="s">
        <v>137</v>
      </c>
      <c r="AH19" t="s">
        <v>129</v>
      </c>
      <c r="AI19" t="b">
        <v>0</v>
      </c>
      <c r="AJ19" t="s">
        <v>129</v>
      </c>
      <c r="AK19" t="s">
        <v>129</v>
      </c>
      <c r="AL19" t="s">
        <v>129</v>
      </c>
      <c r="AM19">
        <v>0</v>
      </c>
      <c r="AN19" t="s">
        <v>129</v>
      </c>
      <c r="AO19" t="s">
        <v>154</v>
      </c>
      <c r="AP19" t="s">
        <v>129</v>
      </c>
      <c r="AQ19" t="s">
        <v>139</v>
      </c>
      <c r="AR19" t="s">
        <v>140</v>
      </c>
      <c r="AS19" t="s">
        <v>141</v>
      </c>
      <c r="AT19" t="s">
        <v>129</v>
      </c>
      <c r="AU19" t="s">
        <v>142</v>
      </c>
      <c r="AV19" t="s">
        <v>129</v>
      </c>
      <c r="AW19" t="s">
        <v>13</v>
      </c>
      <c r="AX19" t="s">
        <v>129</v>
      </c>
      <c r="AY19" t="s">
        <v>143</v>
      </c>
      <c r="AZ19" t="s">
        <v>143</v>
      </c>
      <c r="BA19" t="s">
        <v>211</v>
      </c>
      <c r="BB19" t="s">
        <v>212</v>
      </c>
      <c r="BC19" t="s">
        <v>213</v>
      </c>
      <c r="BD19" t="s">
        <v>214</v>
      </c>
      <c r="BE19" t="s">
        <v>148</v>
      </c>
      <c r="BF19" t="s">
        <v>149</v>
      </c>
      <c r="BG19" t="s">
        <v>150</v>
      </c>
      <c r="BH19" t="s">
        <v>151</v>
      </c>
      <c r="BI19" t="s">
        <v>152</v>
      </c>
      <c r="BJ19" t="s">
        <v>129</v>
      </c>
      <c r="BK19" t="s">
        <v>129</v>
      </c>
      <c r="BL19" t="s">
        <v>143</v>
      </c>
    </row>
    <row r="20" spans="1:64" x14ac:dyDescent="0.25">
      <c r="A20" t="s">
        <v>124</v>
      </c>
      <c r="B20">
        <v>5</v>
      </c>
      <c r="C20" t="s">
        <v>237</v>
      </c>
      <c r="D20" t="s">
        <v>126</v>
      </c>
      <c r="E20" t="s">
        <v>127</v>
      </c>
      <c r="F20" t="s">
        <v>171</v>
      </c>
      <c r="G20" t="s">
        <v>129</v>
      </c>
      <c r="H20" t="s">
        <v>30</v>
      </c>
      <c r="I20" t="s">
        <v>238</v>
      </c>
      <c r="J20">
        <v>630</v>
      </c>
      <c r="K20" t="s">
        <v>239</v>
      </c>
      <c r="L20" t="s">
        <v>131</v>
      </c>
      <c r="M20">
        <v>108218</v>
      </c>
      <c r="N20">
        <v>68177340</v>
      </c>
      <c r="O20">
        <v>0</v>
      </c>
      <c r="P20">
        <v>0</v>
      </c>
      <c r="Q20">
        <v>0.1</v>
      </c>
      <c r="R20" t="s">
        <v>129</v>
      </c>
      <c r="S20" t="s">
        <v>240</v>
      </c>
      <c r="T20" t="s">
        <v>129</v>
      </c>
      <c r="U20" t="s">
        <v>241</v>
      </c>
      <c r="V20" t="s">
        <v>129</v>
      </c>
      <c r="W20" t="s">
        <v>129</v>
      </c>
      <c r="X20">
        <v>3465</v>
      </c>
      <c r="Y20">
        <v>210</v>
      </c>
      <c r="Z20" t="b">
        <v>0</v>
      </c>
      <c r="AA20" t="s">
        <v>129</v>
      </c>
      <c r="AB20" t="s">
        <v>135</v>
      </c>
      <c r="AC20" t="s">
        <v>129</v>
      </c>
      <c r="AD20" t="s">
        <v>136</v>
      </c>
      <c r="AE20" t="s">
        <v>129</v>
      </c>
      <c r="AF20" t="b">
        <v>0</v>
      </c>
      <c r="AG20" t="s">
        <v>208</v>
      </c>
      <c r="AH20" t="s">
        <v>129</v>
      </c>
      <c r="AI20" t="b">
        <v>0</v>
      </c>
      <c r="AJ20" t="s">
        <v>129</v>
      </c>
      <c r="AK20" t="s">
        <v>129</v>
      </c>
      <c r="AL20" t="s">
        <v>129</v>
      </c>
      <c r="AM20">
        <v>0</v>
      </c>
      <c r="AN20" t="s">
        <v>129</v>
      </c>
      <c r="AO20" t="s">
        <v>242</v>
      </c>
      <c r="AP20" t="s">
        <v>129</v>
      </c>
      <c r="AQ20" t="s">
        <v>243</v>
      </c>
      <c r="AR20" t="s">
        <v>140</v>
      </c>
      <c r="AS20" t="s">
        <v>141</v>
      </c>
      <c r="AT20" t="s">
        <v>129</v>
      </c>
      <c r="AU20" t="s">
        <v>142</v>
      </c>
      <c r="AV20" t="s">
        <v>129</v>
      </c>
      <c r="AW20" t="s">
        <v>12</v>
      </c>
      <c r="AX20" t="s">
        <v>129</v>
      </c>
      <c r="AY20" t="s">
        <v>143</v>
      </c>
      <c r="AZ20" t="s">
        <v>143</v>
      </c>
      <c r="BA20" t="s">
        <v>244</v>
      </c>
      <c r="BB20" t="s">
        <v>245</v>
      </c>
      <c r="BC20" t="s">
        <v>246</v>
      </c>
      <c r="BD20" t="s">
        <v>247</v>
      </c>
      <c r="BE20" t="s">
        <v>148</v>
      </c>
      <c r="BF20" t="s">
        <v>149</v>
      </c>
      <c r="BG20" t="s">
        <v>150</v>
      </c>
      <c r="BH20" t="s">
        <v>151</v>
      </c>
      <c r="BI20" t="s">
        <v>152</v>
      </c>
      <c r="BJ20" t="s">
        <v>129</v>
      </c>
      <c r="BK20" t="s">
        <v>129</v>
      </c>
      <c r="BL20" t="s">
        <v>143</v>
      </c>
    </row>
    <row r="21" spans="1:64" x14ac:dyDescent="0.25">
      <c r="A21" t="s">
        <v>124</v>
      </c>
      <c r="B21">
        <v>5</v>
      </c>
      <c r="C21" t="s">
        <v>248</v>
      </c>
      <c r="D21" t="s">
        <v>126</v>
      </c>
      <c r="E21" t="s">
        <v>127</v>
      </c>
      <c r="F21" t="s">
        <v>249</v>
      </c>
      <c r="G21" t="s">
        <v>129</v>
      </c>
      <c r="H21" t="s">
        <v>250</v>
      </c>
      <c r="I21" t="s">
        <v>251</v>
      </c>
      <c r="J21">
        <v>630</v>
      </c>
      <c r="K21" t="s">
        <v>252</v>
      </c>
      <c r="L21" t="s">
        <v>131</v>
      </c>
      <c r="M21">
        <v>15114</v>
      </c>
      <c r="N21">
        <v>9521820</v>
      </c>
      <c r="O21">
        <v>0</v>
      </c>
      <c r="P21">
        <v>0</v>
      </c>
      <c r="Q21">
        <v>0</v>
      </c>
      <c r="R21" t="s">
        <v>129</v>
      </c>
      <c r="S21" t="s">
        <v>240</v>
      </c>
      <c r="T21" t="s">
        <v>30</v>
      </c>
      <c r="U21" t="s">
        <v>253</v>
      </c>
      <c r="V21" t="s">
        <v>241</v>
      </c>
      <c r="W21" t="s">
        <v>202</v>
      </c>
      <c r="X21">
        <v>311.85000000000002</v>
      </c>
      <c r="Y21">
        <v>31.5</v>
      </c>
      <c r="Z21" t="b">
        <v>0</v>
      </c>
      <c r="AA21" t="s">
        <v>129</v>
      </c>
      <c r="AB21" t="s">
        <v>135</v>
      </c>
      <c r="AC21" t="s">
        <v>129</v>
      </c>
      <c r="AD21" t="s">
        <v>136</v>
      </c>
      <c r="AE21" t="s">
        <v>129</v>
      </c>
      <c r="AF21" t="b">
        <v>0</v>
      </c>
      <c r="AG21" t="s">
        <v>208</v>
      </c>
      <c r="AH21" t="s">
        <v>129</v>
      </c>
      <c r="AI21" t="b">
        <v>0</v>
      </c>
      <c r="AJ21" t="s">
        <v>129</v>
      </c>
      <c r="AK21" t="s">
        <v>129</v>
      </c>
      <c r="AL21" t="s">
        <v>129</v>
      </c>
      <c r="AM21">
        <v>0</v>
      </c>
      <c r="AN21" t="s">
        <v>129</v>
      </c>
      <c r="AO21" t="s">
        <v>254</v>
      </c>
      <c r="AP21" t="s">
        <v>129</v>
      </c>
      <c r="AQ21" t="s">
        <v>243</v>
      </c>
      <c r="AR21" t="s">
        <v>140</v>
      </c>
      <c r="AS21" t="s">
        <v>141</v>
      </c>
      <c r="AT21" t="s">
        <v>129</v>
      </c>
      <c r="AU21" t="s">
        <v>142</v>
      </c>
      <c r="AV21" t="s">
        <v>129</v>
      </c>
      <c r="AW21" t="s">
        <v>12</v>
      </c>
      <c r="AX21" t="s">
        <v>129</v>
      </c>
      <c r="AY21" t="s">
        <v>143</v>
      </c>
      <c r="AZ21" t="s">
        <v>143</v>
      </c>
      <c r="BA21" t="s">
        <v>255</v>
      </c>
      <c r="BB21" t="s">
        <v>256</v>
      </c>
      <c r="BC21" t="s">
        <v>257</v>
      </c>
      <c r="BD21" t="s">
        <v>258</v>
      </c>
      <c r="BE21" t="s">
        <v>148</v>
      </c>
      <c r="BF21" t="s">
        <v>149</v>
      </c>
      <c r="BG21" t="s">
        <v>150</v>
      </c>
      <c r="BH21" t="s">
        <v>151</v>
      </c>
      <c r="BI21" t="s">
        <v>152</v>
      </c>
      <c r="BJ21" t="s">
        <v>129</v>
      </c>
      <c r="BK21" t="s">
        <v>129</v>
      </c>
      <c r="BL21" t="s">
        <v>143</v>
      </c>
    </row>
    <row r="22" spans="1:64" x14ac:dyDescent="0.25">
      <c r="A22" t="s">
        <v>124</v>
      </c>
      <c r="B22">
        <v>5</v>
      </c>
      <c r="C22" t="s">
        <v>259</v>
      </c>
      <c r="D22" t="s">
        <v>126</v>
      </c>
      <c r="E22" t="s">
        <v>127</v>
      </c>
      <c r="F22" t="s">
        <v>128</v>
      </c>
      <c r="G22" t="s">
        <v>129</v>
      </c>
      <c r="H22" t="s">
        <v>39</v>
      </c>
      <c r="I22" t="s">
        <v>260</v>
      </c>
      <c r="J22">
        <v>300</v>
      </c>
      <c r="K22" t="s">
        <v>261</v>
      </c>
      <c r="L22" t="s">
        <v>131</v>
      </c>
      <c r="M22">
        <v>56101</v>
      </c>
      <c r="N22">
        <v>16830300</v>
      </c>
      <c r="O22">
        <v>0</v>
      </c>
      <c r="P22">
        <v>0</v>
      </c>
      <c r="Q22">
        <v>0.1</v>
      </c>
      <c r="R22" t="s">
        <v>128</v>
      </c>
      <c r="S22" t="s">
        <v>133</v>
      </c>
      <c r="T22" t="s">
        <v>129</v>
      </c>
      <c r="U22" t="s">
        <v>262</v>
      </c>
      <c r="V22" t="s">
        <v>129</v>
      </c>
      <c r="W22" t="s">
        <v>129</v>
      </c>
      <c r="X22">
        <v>780</v>
      </c>
      <c r="Y22">
        <v>75</v>
      </c>
      <c r="Z22" t="b">
        <v>0</v>
      </c>
      <c r="AA22" t="s">
        <v>129</v>
      </c>
      <c r="AB22" t="s">
        <v>135</v>
      </c>
      <c r="AC22" t="s">
        <v>129</v>
      </c>
      <c r="AD22" t="s">
        <v>136</v>
      </c>
      <c r="AE22" t="s">
        <v>129</v>
      </c>
      <c r="AF22" t="b">
        <v>0</v>
      </c>
      <c r="AG22" t="s">
        <v>137</v>
      </c>
      <c r="AH22" t="s">
        <v>129</v>
      </c>
      <c r="AI22" t="b">
        <v>0</v>
      </c>
      <c r="AJ22" t="s">
        <v>129</v>
      </c>
      <c r="AK22" t="s">
        <v>129</v>
      </c>
      <c r="AL22" t="s">
        <v>129</v>
      </c>
      <c r="AM22">
        <v>0</v>
      </c>
      <c r="AN22" t="s">
        <v>129</v>
      </c>
      <c r="AO22" t="s">
        <v>263</v>
      </c>
      <c r="AP22" t="s">
        <v>129</v>
      </c>
      <c r="AQ22" t="s">
        <v>139</v>
      </c>
      <c r="AR22" t="s">
        <v>140</v>
      </c>
      <c r="AS22" t="s">
        <v>141</v>
      </c>
      <c r="AT22" t="s">
        <v>129</v>
      </c>
      <c r="AU22" t="s">
        <v>142</v>
      </c>
      <c r="AV22" t="s">
        <v>129</v>
      </c>
      <c r="AW22" t="s">
        <v>13</v>
      </c>
      <c r="AX22" t="s">
        <v>129</v>
      </c>
      <c r="AY22" t="s">
        <v>143</v>
      </c>
      <c r="AZ22" t="s">
        <v>143</v>
      </c>
      <c r="BA22" t="s">
        <v>264</v>
      </c>
      <c r="BB22" t="s">
        <v>265</v>
      </c>
      <c r="BC22" t="s">
        <v>213</v>
      </c>
      <c r="BD22" t="s">
        <v>214</v>
      </c>
      <c r="BE22" t="s">
        <v>148</v>
      </c>
      <c r="BF22" t="s">
        <v>149</v>
      </c>
      <c r="BG22" t="s">
        <v>150</v>
      </c>
      <c r="BH22" t="s">
        <v>151</v>
      </c>
      <c r="BI22" t="s">
        <v>152</v>
      </c>
      <c r="BJ22" t="s">
        <v>129</v>
      </c>
      <c r="BK22" t="s">
        <v>129</v>
      </c>
      <c r="BL22" t="s">
        <v>143</v>
      </c>
    </row>
    <row r="23" spans="1:64" x14ac:dyDescent="0.25">
      <c r="A23" t="s">
        <v>124</v>
      </c>
      <c r="B23">
        <v>5</v>
      </c>
      <c r="C23" t="s">
        <v>266</v>
      </c>
      <c r="D23" t="s">
        <v>126</v>
      </c>
      <c r="E23" t="s">
        <v>127</v>
      </c>
      <c r="F23" t="s">
        <v>164</v>
      </c>
      <c r="G23" t="s">
        <v>129</v>
      </c>
      <c r="H23" t="s">
        <v>39</v>
      </c>
      <c r="I23" t="s">
        <v>260</v>
      </c>
      <c r="J23">
        <v>20</v>
      </c>
      <c r="K23" t="s">
        <v>267</v>
      </c>
      <c r="L23" t="s">
        <v>131</v>
      </c>
      <c r="M23">
        <v>43483</v>
      </c>
      <c r="N23">
        <v>869660</v>
      </c>
      <c r="O23">
        <v>0</v>
      </c>
      <c r="P23">
        <v>0</v>
      </c>
      <c r="Q23">
        <v>0</v>
      </c>
      <c r="R23" t="s">
        <v>132</v>
      </c>
      <c r="S23" t="s">
        <v>133</v>
      </c>
      <c r="T23" t="s">
        <v>39</v>
      </c>
      <c r="U23" t="s">
        <v>268</v>
      </c>
      <c r="V23" t="s">
        <v>262</v>
      </c>
      <c r="W23" t="s">
        <v>202</v>
      </c>
      <c r="X23">
        <v>52</v>
      </c>
      <c r="Y23">
        <v>5</v>
      </c>
      <c r="Z23" t="b">
        <v>0</v>
      </c>
      <c r="AA23" t="s">
        <v>129</v>
      </c>
      <c r="AB23" t="s">
        <v>135</v>
      </c>
      <c r="AC23" t="s">
        <v>129</v>
      </c>
      <c r="AD23" t="s">
        <v>136</v>
      </c>
      <c r="AE23" t="s">
        <v>129</v>
      </c>
      <c r="AF23" t="b">
        <v>0</v>
      </c>
      <c r="AG23" t="s">
        <v>137</v>
      </c>
      <c r="AH23" t="s">
        <v>129</v>
      </c>
      <c r="AI23" t="b">
        <v>0</v>
      </c>
      <c r="AJ23" t="s">
        <v>129</v>
      </c>
      <c r="AK23" t="s">
        <v>129</v>
      </c>
      <c r="AL23" t="s">
        <v>129</v>
      </c>
      <c r="AM23">
        <v>0</v>
      </c>
      <c r="AN23" t="s">
        <v>129</v>
      </c>
      <c r="AO23" t="s">
        <v>263</v>
      </c>
      <c r="AP23" t="s">
        <v>129</v>
      </c>
      <c r="AQ23" t="s">
        <v>139</v>
      </c>
      <c r="AR23" t="s">
        <v>140</v>
      </c>
      <c r="AS23" t="s">
        <v>141</v>
      </c>
      <c r="AT23" t="s">
        <v>129</v>
      </c>
      <c r="AU23" t="s">
        <v>142</v>
      </c>
      <c r="AV23" t="s">
        <v>129</v>
      </c>
      <c r="AW23" t="s">
        <v>13</v>
      </c>
      <c r="AX23" t="s">
        <v>129</v>
      </c>
      <c r="AY23" t="s">
        <v>143</v>
      </c>
      <c r="AZ23" t="s">
        <v>143</v>
      </c>
      <c r="BA23" t="s">
        <v>264</v>
      </c>
      <c r="BB23" t="s">
        <v>265</v>
      </c>
      <c r="BC23" t="s">
        <v>213</v>
      </c>
      <c r="BD23" t="s">
        <v>214</v>
      </c>
      <c r="BE23" t="s">
        <v>148</v>
      </c>
      <c r="BF23" t="s">
        <v>149</v>
      </c>
      <c r="BG23" t="s">
        <v>150</v>
      </c>
      <c r="BH23" t="s">
        <v>151</v>
      </c>
      <c r="BI23" t="s">
        <v>152</v>
      </c>
      <c r="BJ23" t="s">
        <v>129</v>
      </c>
      <c r="BK23" t="s">
        <v>129</v>
      </c>
      <c r="BL23" t="s">
        <v>143</v>
      </c>
    </row>
    <row r="24" spans="1:64" x14ac:dyDescent="0.25">
      <c r="A24" t="s">
        <v>124</v>
      </c>
      <c r="B24">
        <v>5</v>
      </c>
      <c r="C24" t="s">
        <v>269</v>
      </c>
      <c r="D24" t="s">
        <v>126</v>
      </c>
      <c r="E24" t="s">
        <v>127</v>
      </c>
      <c r="F24" t="s">
        <v>171</v>
      </c>
      <c r="G24" t="s">
        <v>129</v>
      </c>
      <c r="H24" t="s">
        <v>32</v>
      </c>
      <c r="I24" t="s">
        <v>8</v>
      </c>
      <c r="J24">
        <v>600</v>
      </c>
      <c r="K24" t="s">
        <v>270</v>
      </c>
      <c r="L24" t="s">
        <v>131</v>
      </c>
      <c r="M24">
        <v>105700</v>
      </c>
      <c r="N24">
        <v>63420000</v>
      </c>
      <c r="O24">
        <v>0</v>
      </c>
      <c r="P24">
        <v>0</v>
      </c>
      <c r="Q24">
        <v>0.1</v>
      </c>
      <c r="R24" t="s">
        <v>129</v>
      </c>
      <c r="S24" t="s">
        <v>271</v>
      </c>
      <c r="T24" t="s">
        <v>129</v>
      </c>
      <c r="U24" t="s">
        <v>272</v>
      </c>
      <c r="V24" t="s">
        <v>129</v>
      </c>
      <c r="W24" t="s">
        <v>129</v>
      </c>
      <c r="X24">
        <v>3300</v>
      </c>
      <c r="Y24">
        <v>200</v>
      </c>
      <c r="Z24" t="b">
        <v>0</v>
      </c>
      <c r="AA24" t="s">
        <v>129</v>
      </c>
      <c r="AB24" t="s">
        <v>135</v>
      </c>
      <c r="AC24" t="s">
        <v>129</v>
      </c>
      <c r="AD24" t="s">
        <v>136</v>
      </c>
      <c r="AE24" t="s">
        <v>129</v>
      </c>
      <c r="AF24" t="b">
        <v>0</v>
      </c>
      <c r="AG24" t="s">
        <v>273</v>
      </c>
      <c r="AH24" t="s">
        <v>129</v>
      </c>
      <c r="AI24" t="b">
        <v>0</v>
      </c>
      <c r="AJ24" t="s">
        <v>129</v>
      </c>
      <c r="AK24" t="s">
        <v>129</v>
      </c>
      <c r="AL24" t="s">
        <v>129</v>
      </c>
      <c r="AM24">
        <v>0</v>
      </c>
      <c r="AN24" t="s">
        <v>129</v>
      </c>
      <c r="AO24" t="s">
        <v>274</v>
      </c>
      <c r="AP24" t="s">
        <v>129</v>
      </c>
      <c r="AQ24" t="s">
        <v>275</v>
      </c>
      <c r="AR24" t="s">
        <v>140</v>
      </c>
      <c r="AS24" t="s">
        <v>141</v>
      </c>
      <c r="AT24" t="s">
        <v>129</v>
      </c>
      <c r="AU24" t="s">
        <v>142</v>
      </c>
      <c r="AV24" t="s">
        <v>129</v>
      </c>
      <c r="AW24" t="s">
        <v>10</v>
      </c>
      <c r="AX24" t="s">
        <v>129</v>
      </c>
      <c r="AY24" t="s">
        <v>143</v>
      </c>
      <c r="AZ24" t="s">
        <v>143</v>
      </c>
      <c r="BA24" t="s">
        <v>276</v>
      </c>
      <c r="BB24" t="s">
        <v>277</v>
      </c>
      <c r="BC24" t="s">
        <v>278</v>
      </c>
      <c r="BD24" t="s">
        <v>279</v>
      </c>
      <c r="BE24" t="s">
        <v>148</v>
      </c>
      <c r="BF24" t="s">
        <v>149</v>
      </c>
      <c r="BG24" t="s">
        <v>150</v>
      </c>
      <c r="BH24" t="s">
        <v>151</v>
      </c>
      <c r="BI24" t="s">
        <v>152</v>
      </c>
      <c r="BJ24" t="s">
        <v>129</v>
      </c>
      <c r="BK24" t="s">
        <v>129</v>
      </c>
      <c r="BL24" t="s">
        <v>143</v>
      </c>
    </row>
    <row r="25" spans="1:64" x14ac:dyDescent="0.25">
      <c r="A25" t="s">
        <v>124</v>
      </c>
      <c r="B25">
        <v>6</v>
      </c>
      <c r="C25" t="s">
        <v>280</v>
      </c>
      <c r="D25" t="s">
        <v>126</v>
      </c>
      <c r="E25" t="s">
        <v>127</v>
      </c>
      <c r="F25" t="s">
        <v>128</v>
      </c>
      <c r="G25" t="s">
        <v>129</v>
      </c>
      <c r="H25" t="s">
        <v>36</v>
      </c>
      <c r="I25" t="s">
        <v>23</v>
      </c>
      <c r="J25">
        <v>640</v>
      </c>
      <c r="K25" t="s">
        <v>281</v>
      </c>
      <c r="L25" t="s">
        <v>131</v>
      </c>
      <c r="M25">
        <v>56502</v>
      </c>
      <c r="N25">
        <v>36161280</v>
      </c>
      <c r="O25">
        <v>0</v>
      </c>
      <c r="P25">
        <v>0</v>
      </c>
      <c r="Q25">
        <v>0.1</v>
      </c>
      <c r="R25" t="s">
        <v>129</v>
      </c>
      <c r="S25" t="s">
        <v>133</v>
      </c>
      <c r="T25" t="s">
        <v>129</v>
      </c>
      <c r="U25" t="s">
        <v>282</v>
      </c>
      <c r="V25" t="s">
        <v>129</v>
      </c>
      <c r="W25" t="s">
        <v>129</v>
      </c>
      <c r="X25">
        <v>2534.4</v>
      </c>
      <c r="Y25">
        <v>160</v>
      </c>
      <c r="Z25" t="b">
        <v>0</v>
      </c>
      <c r="AA25" t="s">
        <v>129</v>
      </c>
      <c r="AB25" t="s">
        <v>135</v>
      </c>
      <c r="AC25" t="s">
        <v>129</v>
      </c>
      <c r="AD25" t="s">
        <v>136</v>
      </c>
      <c r="AE25" t="s">
        <v>129</v>
      </c>
      <c r="AF25" t="b">
        <v>0</v>
      </c>
      <c r="AG25" t="s">
        <v>137</v>
      </c>
      <c r="AH25" t="s">
        <v>129</v>
      </c>
      <c r="AI25" t="b">
        <v>0</v>
      </c>
      <c r="AJ25" t="s">
        <v>129</v>
      </c>
      <c r="AK25" t="s">
        <v>129</v>
      </c>
      <c r="AL25" t="s">
        <v>129</v>
      </c>
      <c r="AM25">
        <v>0</v>
      </c>
      <c r="AN25" t="s">
        <v>129</v>
      </c>
      <c r="AO25" t="s">
        <v>138</v>
      </c>
      <c r="AP25" t="s">
        <v>129</v>
      </c>
      <c r="AQ25" t="s">
        <v>139</v>
      </c>
      <c r="AR25" t="s">
        <v>140</v>
      </c>
      <c r="AS25" t="s">
        <v>141</v>
      </c>
      <c r="AT25" t="s">
        <v>129</v>
      </c>
      <c r="AU25" t="s">
        <v>142</v>
      </c>
      <c r="AV25" t="s">
        <v>129</v>
      </c>
      <c r="AW25" t="s">
        <v>13</v>
      </c>
      <c r="AX25" t="s">
        <v>129</v>
      </c>
      <c r="AY25" t="s">
        <v>143</v>
      </c>
      <c r="AZ25" t="s">
        <v>143</v>
      </c>
      <c r="BA25" t="s">
        <v>283</v>
      </c>
      <c r="BB25" t="s">
        <v>284</v>
      </c>
      <c r="BC25" t="s">
        <v>283</v>
      </c>
      <c r="BD25" t="s">
        <v>285</v>
      </c>
      <c r="BE25" t="s">
        <v>148</v>
      </c>
      <c r="BF25" t="s">
        <v>149</v>
      </c>
      <c r="BG25" t="s">
        <v>150</v>
      </c>
      <c r="BH25" t="s">
        <v>151</v>
      </c>
      <c r="BI25" t="s">
        <v>152</v>
      </c>
      <c r="BJ25" t="s">
        <v>129</v>
      </c>
      <c r="BK25" t="s">
        <v>129</v>
      </c>
      <c r="BL25" t="s">
        <v>143</v>
      </c>
    </row>
    <row r="26" spans="1:64" x14ac:dyDescent="0.25">
      <c r="A26" t="s">
        <v>124</v>
      </c>
      <c r="B26">
        <v>6</v>
      </c>
      <c r="C26" t="s">
        <v>286</v>
      </c>
      <c r="D26" t="s">
        <v>126</v>
      </c>
      <c r="E26" t="s">
        <v>127</v>
      </c>
      <c r="F26" t="s">
        <v>164</v>
      </c>
      <c r="G26" t="s">
        <v>129</v>
      </c>
      <c r="H26" t="s">
        <v>36</v>
      </c>
      <c r="I26" t="s">
        <v>23</v>
      </c>
      <c r="J26">
        <v>160</v>
      </c>
      <c r="K26" t="s">
        <v>287</v>
      </c>
      <c r="L26" t="s">
        <v>131</v>
      </c>
      <c r="M26">
        <v>31963</v>
      </c>
      <c r="N26">
        <v>5114080</v>
      </c>
      <c r="O26">
        <v>0</v>
      </c>
      <c r="P26">
        <v>0</v>
      </c>
      <c r="Q26">
        <v>0</v>
      </c>
      <c r="R26" t="s">
        <v>129</v>
      </c>
      <c r="S26" t="s">
        <v>133</v>
      </c>
      <c r="T26" t="s">
        <v>36</v>
      </c>
      <c r="U26" t="s">
        <v>288</v>
      </c>
      <c r="V26" t="s">
        <v>282</v>
      </c>
      <c r="W26" t="s">
        <v>202</v>
      </c>
      <c r="X26">
        <v>633.6</v>
      </c>
      <c r="Y26">
        <v>40</v>
      </c>
      <c r="Z26" t="b">
        <v>0</v>
      </c>
      <c r="AA26" t="s">
        <v>129</v>
      </c>
      <c r="AB26" t="s">
        <v>135</v>
      </c>
      <c r="AC26" t="s">
        <v>129</v>
      </c>
      <c r="AD26" t="s">
        <v>136</v>
      </c>
      <c r="AE26" t="s">
        <v>129</v>
      </c>
      <c r="AF26" t="b">
        <v>0</v>
      </c>
      <c r="AG26" t="s">
        <v>137</v>
      </c>
      <c r="AH26" t="s">
        <v>129</v>
      </c>
      <c r="AI26" t="b">
        <v>0</v>
      </c>
      <c r="AJ26" t="s">
        <v>129</v>
      </c>
      <c r="AK26" t="s">
        <v>129</v>
      </c>
      <c r="AL26" t="s">
        <v>129</v>
      </c>
      <c r="AM26">
        <v>0</v>
      </c>
      <c r="AN26" t="s">
        <v>129</v>
      </c>
      <c r="AO26" t="s">
        <v>138</v>
      </c>
      <c r="AP26" t="s">
        <v>129</v>
      </c>
      <c r="AQ26" t="s">
        <v>139</v>
      </c>
      <c r="AR26" t="s">
        <v>140</v>
      </c>
      <c r="AS26" t="s">
        <v>141</v>
      </c>
      <c r="AT26" t="s">
        <v>129</v>
      </c>
      <c r="AU26" t="s">
        <v>142</v>
      </c>
      <c r="AV26" t="s">
        <v>129</v>
      </c>
      <c r="AW26" t="s">
        <v>13</v>
      </c>
      <c r="AX26" t="s">
        <v>129</v>
      </c>
      <c r="AY26" t="s">
        <v>143</v>
      </c>
      <c r="AZ26" t="s">
        <v>143</v>
      </c>
      <c r="BA26" t="s">
        <v>283</v>
      </c>
      <c r="BB26" t="s">
        <v>284</v>
      </c>
      <c r="BC26" t="s">
        <v>283</v>
      </c>
      <c r="BD26" t="s">
        <v>285</v>
      </c>
      <c r="BE26" t="s">
        <v>148</v>
      </c>
      <c r="BF26" t="s">
        <v>149</v>
      </c>
      <c r="BG26" t="s">
        <v>150</v>
      </c>
      <c r="BH26" t="s">
        <v>151</v>
      </c>
      <c r="BI26" t="s">
        <v>152</v>
      </c>
      <c r="BJ26" t="s">
        <v>129</v>
      </c>
      <c r="BK26" t="s">
        <v>129</v>
      </c>
      <c r="BL26" t="s">
        <v>143</v>
      </c>
    </row>
    <row r="27" spans="1:64" x14ac:dyDescent="0.25">
      <c r="A27" t="s">
        <v>124</v>
      </c>
      <c r="B27">
        <v>6</v>
      </c>
      <c r="C27" t="s">
        <v>289</v>
      </c>
      <c r="D27" t="s">
        <v>126</v>
      </c>
      <c r="E27" t="s">
        <v>127</v>
      </c>
      <c r="F27" t="s">
        <v>171</v>
      </c>
      <c r="G27" t="s">
        <v>129</v>
      </c>
      <c r="H27" t="s">
        <v>56</v>
      </c>
      <c r="I27" t="s">
        <v>19</v>
      </c>
      <c r="J27">
        <v>528</v>
      </c>
      <c r="K27" t="s">
        <v>290</v>
      </c>
      <c r="L27" t="s">
        <v>131</v>
      </c>
      <c r="M27">
        <v>20865</v>
      </c>
      <c r="N27">
        <v>11016720</v>
      </c>
      <c r="O27">
        <v>0</v>
      </c>
      <c r="P27">
        <v>0</v>
      </c>
      <c r="Q27">
        <v>0.1</v>
      </c>
      <c r="R27" t="s">
        <v>129</v>
      </c>
      <c r="S27" t="s">
        <v>173</v>
      </c>
      <c r="T27" t="s">
        <v>129</v>
      </c>
      <c r="U27" t="s">
        <v>291</v>
      </c>
      <c r="V27" t="s">
        <v>129</v>
      </c>
      <c r="W27" t="s">
        <v>129</v>
      </c>
      <c r="X27">
        <v>475.2</v>
      </c>
      <c r="Y27">
        <v>44</v>
      </c>
      <c r="Z27" t="b">
        <v>0</v>
      </c>
      <c r="AA27" t="s">
        <v>129</v>
      </c>
      <c r="AB27" t="s">
        <v>135</v>
      </c>
      <c r="AC27" t="s">
        <v>129</v>
      </c>
      <c r="AD27" t="s">
        <v>136</v>
      </c>
      <c r="AE27" t="s">
        <v>129</v>
      </c>
      <c r="AF27" t="b">
        <v>0</v>
      </c>
      <c r="AG27" t="s">
        <v>137</v>
      </c>
      <c r="AH27" t="s">
        <v>129</v>
      </c>
      <c r="AI27" t="b">
        <v>0</v>
      </c>
      <c r="AJ27" t="s">
        <v>129</v>
      </c>
      <c r="AK27" t="s">
        <v>129</v>
      </c>
      <c r="AL27" t="s">
        <v>129</v>
      </c>
      <c r="AM27">
        <v>0</v>
      </c>
      <c r="AN27" t="s">
        <v>129</v>
      </c>
      <c r="AO27" t="s">
        <v>292</v>
      </c>
      <c r="AP27" t="s">
        <v>129</v>
      </c>
      <c r="AQ27" t="s">
        <v>176</v>
      </c>
      <c r="AR27" t="s">
        <v>140</v>
      </c>
      <c r="AS27" t="s">
        <v>141</v>
      </c>
      <c r="AT27" t="s">
        <v>129</v>
      </c>
      <c r="AU27" t="s">
        <v>142</v>
      </c>
      <c r="AV27" t="s">
        <v>129</v>
      </c>
      <c r="AW27" t="s">
        <v>16</v>
      </c>
      <c r="AX27" t="s">
        <v>129</v>
      </c>
      <c r="AY27" t="s">
        <v>143</v>
      </c>
      <c r="AZ27" t="s">
        <v>143</v>
      </c>
      <c r="BA27" t="s">
        <v>293</v>
      </c>
      <c r="BB27" t="s">
        <v>19</v>
      </c>
      <c r="BC27" t="s">
        <v>294</v>
      </c>
      <c r="BD27" t="s">
        <v>295</v>
      </c>
      <c r="BE27" t="s">
        <v>148</v>
      </c>
      <c r="BF27" t="s">
        <v>149</v>
      </c>
      <c r="BG27" t="s">
        <v>150</v>
      </c>
      <c r="BH27" t="s">
        <v>151</v>
      </c>
      <c r="BI27" t="s">
        <v>152</v>
      </c>
      <c r="BJ27" t="s">
        <v>129</v>
      </c>
      <c r="BK27" t="s">
        <v>129</v>
      </c>
      <c r="BL27" t="s">
        <v>143</v>
      </c>
    </row>
    <row r="28" spans="1:64" x14ac:dyDescent="0.25">
      <c r="A28" t="s">
        <v>124</v>
      </c>
      <c r="B28">
        <v>6</v>
      </c>
      <c r="C28" t="s">
        <v>289</v>
      </c>
      <c r="D28" t="s">
        <v>126</v>
      </c>
      <c r="E28" t="s">
        <v>127</v>
      </c>
      <c r="F28" t="s">
        <v>171</v>
      </c>
      <c r="G28" t="s">
        <v>129</v>
      </c>
      <c r="H28" t="s">
        <v>57</v>
      </c>
      <c r="I28" t="s">
        <v>9</v>
      </c>
      <c r="J28">
        <v>360</v>
      </c>
      <c r="K28" t="s">
        <v>290</v>
      </c>
      <c r="L28" t="s">
        <v>131</v>
      </c>
      <c r="M28">
        <v>83719</v>
      </c>
      <c r="N28">
        <v>30138840</v>
      </c>
      <c r="O28">
        <v>0</v>
      </c>
      <c r="P28">
        <v>0</v>
      </c>
      <c r="Q28">
        <v>0.1</v>
      </c>
      <c r="R28" t="s">
        <v>129</v>
      </c>
      <c r="S28" t="s">
        <v>173</v>
      </c>
      <c r="T28" t="s">
        <v>129</v>
      </c>
      <c r="U28" t="s">
        <v>296</v>
      </c>
      <c r="V28" t="s">
        <v>129</v>
      </c>
      <c r="W28" t="s">
        <v>129</v>
      </c>
      <c r="X28">
        <v>1296</v>
      </c>
      <c r="Y28">
        <v>90</v>
      </c>
      <c r="Z28" t="b">
        <v>0</v>
      </c>
      <c r="AA28" t="s">
        <v>129</v>
      </c>
      <c r="AB28" t="s">
        <v>135</v>
      </c>
      <c r="AC28" t="s">
        <v>129</v>
      </c>
      <c r="AD28" t="s">
        <v>136</v>
      </c>
      <c r="AE28" t="s">
        <v>129</v>
      </c>
      <c r="AF28" t="b">
        <v>0</v>
      </c>
      <c r="AG28" t="s">
        <v>137</v>
      </c>
      <c r="AH28" t="s">
        <v>129</v>
      </c>
      <c r="AI28" t="b">
        <v>0</v>
      </c>
      <c r="AJ28" t="s">
        <v>129</v>
      </c>
      <c r="AK28" t="s">
        <v>129</v>
      </c>
      <c r="AL28" t="s">
        <v>129</v>
      </c>
      <c r="AM28">
        <v>0</v>
      </c>
      <c r="AN28" t="s">
        <v>129</v>
      </c>
      <c r="AO28" t="s">
        <v>138</v>
      </c>
      <c r="AP28" t="s">
        <v>129</v>
      </c>
      <c r="AQ28" t="s">
        <v>176</v>
      </c>
      <c r="AR28" t="s">
        <v>140</v>
      </c>
      <c r="AS28" t="s">
        <v>141</v>
      </c>
      <c r="AT28" t="s">
        <v>129</v>
      </c>
      <c r="AU28" t="s">
        <v>142</v>
      </c>
      <c r="AV28" t="s">
        <v>129</v>
      </c>
      <c r="AW28" t="s">
        <v>16</v>
      </c>
      <c r="AX28" t="s">
        <v>129</v>
      </c>
      <c r="AY28" t="s">
        <v>143</v>
      </c>
      <c r="AZ28" t="s">
        <v>143</v>
      </c>
      <c r="BA28" t="s">
        <v>297</v>
      </c>
      <c r="BB28" t="s">
        <v>298</v>
      </c>
      <c r="BC28" t="s">
        <v>299</v>
      </c>
      <c r="BD28" t="s">
        <v>300</v>
      </c>
      <c r="BE28" t="s">
        <v>148</v>
      </c>
      <c r="BF28" t="s">
        <v>149</v>
      </c>
      <c r="BG28" t="s">
        <v>150</v>
      </c>
      <c r="BH28" t="s">
        <v>151</v>
      </c>
      <c r="BI28" t="s">
        <v>152</v>
      </c>
      <c r="BJ28" t="s">
        <v>129</v>
      </c>
      <c r="BK28" t="s">
        <v>129</v>
      </c>
      <c r="BL28" t="s">
        <v>143</v>
      </c>
    </row>
    <row r="29" spans="1:64" x14ac:dyDescent="0.25">
      <c r="A29" t="s">
        <v>124</v>
      </c>
      <c r="B29">
        <v>6</v>
      </c>
      <c r="C29" t="s">
        <v>289</v>
      </c>
      <c r="D29" t="s">
        <v>126</v>
      </c>
      <c r="E29" t="s">
        <v>127</v>
      </c>
      <c r="F29" t="s">
        <v>171</v>
      </c>
      <c r="G29" t="s">
        <v>129</v>
      </c>
      <c r="H29" t="s">
        <v>59</v>
      </c>
      <c r="I29" t="s">
        <v>20</v>
      </c>
      <c r="J29">
        <v>600</v>
      </c>
      <c r="K29" t="s">
        <v>290</v>
      </c>
      <c r="L29" t="s">
        <v>131</v>
      </c>
      <c r="M29">
        <v>60650</v>
      </c>
      <c r="N29">
        <v>36390000</v>
      </c>
      <c r="O29">
        <v>0</v>
      </c>
      <c r="P29">
        <v>0</v>
      </c>
      <c r="Q29">
        <v>0.1</v>
      </c>
      <c r="R29" t="s">
        <v>129</v>
      </c>
      <c r="S29" t="s">
        <v>173</v>
      </c>
      <c r="T29" t="s">
        <v>129</v>
      </c>
      <c r="U29" t="s">
        <v>301</v>
      </c>
      <c r="V29" t="s">
        <v>129</v>
      </c>
      <c r="W29" t="s">
        <v>129</v>
      </c>
      <c r="X29">
        <v>2100</v>
      </c>
      <c r="Y29">
        <v>150</v>
      </c>
      <c r="Z29" t="b">
        <v>0</v>
      </c>
      <c r="AA29" t="s">
        <v>129</v>
      </c>
      <c r="AB29" t="s">
        <v>135</v>
      </c>
      <c r="AC29" t="s">
        <v>129</v>
      </c>
      <c r="AD29" t="s">
        <v>136</v>
      </c>
      <c r="AE29" t="s">
        <v>129</v>
      </c>
      <c r="AF29" t="b">
        <v>0</v>
      </c>
      <c r="AG29" t="s">
        <v>137</v>
      </c>
      <c r="AH29" t="s">
        <v>129</v>
      </c>
      <c r="AI29" t="b">
        <v>0</v>
      </c>
      <c r="AJ29" t="s">
        <v>129</v>
      </c>
      <c r="AK29" t="s">
        <v>129</v>
      </c>
      <c r="AL29" t="s">
        <v>129</v>
      </c>
      <c r="AM29">
        <v>0</v>
      </c>
      <c r="AN29" t="s">
        <v>129</v>
      </c>
      <c r="AO29" t="s">
        <v>263</v>
      </c>
      <c r="AP29" t="s">
        <v>129</v>
      </c>
      <c r="AQ29" t="s">
        <v>176</v>
      </c>
      <c r="AR29" t="s">
        <v>140</v>
      </c>
      <c r="AS29" t="s">
        <v>141</v>
      </c>
      <c r="AT29" t="s">
        <v>129</v>
      </c>
      <c r="AU29" t="s">
        <v>142</v>
      </c>
      <c r="AV29" t="s">
        <v>129</v>
      </c>
      <c r="AW29" t="s">
        <v>16</v>
      </c>
      <c r="AX29" t="s">
        <v>129</v>
      </c>
      <c r="AY29" t="s">
        <v>143</v>
      </c>
      <c r="AZ29" t="s">
        <v>143</v>
      </c>
      <c r="BA29" t="s">
        <v>302</v>
      </c>
      <c r="BB29" t="s">
        <v>303</v>
      </c>
      <c r="BC29" t="s">
        <v>304</v>
      </c>
      <c r="BD29" t="s">
        <v>305</v>
      </c>
      <c r="BE29" t="s">
        <v>148</v>
      </c>
      <c r="BF29" t="s">
        <v>149</v>
      </c>
      <c r="BG29" t="s">
        <v>150</v>
      </c>
      <c r="BH29" t="s">
        <v>151</v>
      </c>
      <c r="BI29" t="s">
        <v>152</v>
      </c>
      <c r="BJ29" t="s">
        <v>129</v>
      </c>
      <c r="BK29" t="s">
        <v>129</v>
      </c>
      <c r="BL29" t="s">
        <v>143</v>
      </c>
    </row>
    <row r="30" spans="1:64" x14ac:dyDescent="0.25">
      <c r="A30" t="s">
        <v>124</v>
      </c>
      <c r="B30">
        <v>7</v>
      </c>
      <c r="C30" t="s">
        <v>306</v>
      </c>
      <c r="D30" t="s">
        <v>126</v>
      </c>
      <c r="E30" t="s">
        <v>127</v>
      </c>
      <c r="F30" t="s">
        <v>128</v>
      </c>
      <c r="G30" t="s">
        <v>129</v>
      </c>
      <c r="H30" t="s">
        <v>41</v>
      </c>
      <c r="I30" t="s">
        <v>307</v>
      </c>
      <c r="J30">
        <v>108</v>
      </c>
      <c r="K30" t="s">
        <v>308</v>
      </c>
      <c r="L30" t="s">
        <v>131</v>
      </c>
      <c r="M30">
        <v>65719</v>
      </c>
      <c r="N30">
        <v>7097652</v>
      </c>
      <c r="O30">
        <v>0</v>
      </c>
      <c r="P30">
        <v>0</v>
      </c>
      <c r="Q30">
        <v>0.1</v>
      </c>
      <c r="R30" t="s">
        <v>129</v>
      </c>
      <c r="S30" t="s">
        <v>133</v>
      </c>
      <c r="T30" t="s">
        <v>129</v>
      </c>
      <c r="U30" t="s">
        <v>309</v>
      </c>
      <c r="V30" t="s">
        <v>129</v>
      </c>
      <c r="W30" t="s">
        <v>129</v>
      </c>
      <c r="X30">
        <v>278.10000000000002</v>
      </c>
      <c r="Y30">
        <v>27</v>
      </c>
      <c r="Z30" t="b">
        <v>0</v>
      </c>
      <c r="AA30" t="s">
        <v>129</v>
      </c>
      <c r="AB30" t="s">
        <v>135</v>
      </c>
      <c r="AC30" t="s">
        <v>129</v>
      </c>
      <c r="AD30" t="s">
        <v>136</v>
      </c>
      <c r="AE30" t="s">
        <v>129</v>
      </c>
      <c r="AF30" t="b">
        <v>0</v>
      </c>
      <c r="AG30" t="s">
        <v>137</v>
      </c>
      <c r="AH30" t="s">
        <v>129</v>
      </c>
      <c r="AI30" t="b">
        <v>0</v>
      </c>
      <c r="AJ30" t="s">
        <v>129</v>
      </c>
      <c r="AK30" t="s">
        <v>129</v>
      </c>
      <c r="AL30" t="s">
        <v>129</v>
      </c>
      <c r="AM30">
        <v>0</v>
      </c>
      <c r="AN30" t="s">
        <v>129</v>
      </c>
      <c r="AO30" t="s">
        <v>263</v>
      </c>
      <c r="AP30" t="s">
        <v>129</v>
      </c>
      <c r="AQ30" t="s">
        <v>139</v>
      </c>
      <c r="AR30" t="s">
        <v>140</v>
      </c>
      <c r="AS30" t="s">
        <v>141</v>
      </c>
      <c r="AT30" t="s">
        <v>129</v>
      </c>
      <c r="AU30" t="s">
        <v>142</v>
      </c>
      <c r="AV30" t="s">
        <v>129</v>
      </c>
      <c r="AW30" t="s">
        <v>13</v>
      </c>
      <c r="AX30" t="s">
        <v>129</v>
      </c>
      <c r="AY30" t="s">
        <v>143</v>
      </c>
      <c r="AZ30" t="s">
        <v>143</v>
      </c>
      <c r="BA30" t="s">
        <v>264</v>
      </c>
      <c r="BB30" t="s">
        <v>265</v>
      </c>
      <c r="BC30" t="s">
        <v>213</v>
      </c>
      <c r="BD30" t="s">
        <v>214</v>
      </c>
      <c r="BE30" t="s">
        <v>148</v>
      </c>
      <c r="BF30" t="s">
        <v>149</v>
      </c>
      <c r="BG30" t="s">
        <v>150</v>
      </c>
      <c r="BH30" t="s">
        <v>151</v>
      </c>
      <c r="BI30" t="s">
        <v>152</v>
      </c>
      <c r="BJ30" t="s">
        <v>129</v>
      </c>
      <c r="BK30" t="s">
        <v>129</v>
      </c>
      <c r="BL30" t="s">
        <v>143</v>
      </c>
    </row>
    <row r="31" spans="1:64" x14ac:dyDescent="0.25">
      <c r="A31" t="s">
        <v>124</v>
      </c>
      <c r="B31">
        <v>7</v>
      </c>
      <c r="C31" t="s">
        <v>310</v>
      </c>
      <c r="D31" t="s">
        <v>126</v>
      </c>
      <c r="E31" t="s">
        <v>127</v>
      </c>
      <c r="F31" t="s">
        <v>164</v>
      </c>
      <c r="G31" t="s">
        <v>129</v>
      </c>
      <c r="H31" t="s">
        <v>41</v>
      </c>
      <c r="I31" t="s">
        <v>307</v>
      </c>
      <c r="J31">
        <v>12</v>
      </c>
      <c r="K31" t="s">
        <v>311</v>
      </c>
      <c r="L31" t="s">
        <v>131</v>
      </c>
      <c r="M31">
        <v>46012</v>
      </c>
      <c r="N31">
        <v>552144</v>
      </c>
      <c r="O31">
        <v>0</v>
      </c>
      <c r="P31">
        <v>0</v>
      </c>
      <c r="Q31">
        <v>0</v>
      </c>
      <c r="R31" t="s">
        <v>129</v>
      </c>
      <c r="S31" t="s">
        <v>133</v>
      </c>
      <c r="T31" t="s">
        <v>41</v>
      </c>
      <c r="U31" t="s">
        <v>312</v>
      </c>
      <c r="V31" t="s">
        <v>309</v>
      </c>
      <c r="W31" t="s">
        <v>202</v>
      </c>
      <c r="X31">
        <v>30.9</v>
      </c>
      <c r="Y31">
        <v>3</v>
      </c>
      <c r="Z31" t="b">
        <v>0</v>
      </c>
      <c r="AA31" t="s">
        <v>129</v>
      </c>
      <c r="AB31" t="s">
        <v>135</v>
      </c>
      <c r="AC31" t="s">
        <v>129</v>
      </c>
      <c r="AD31" t="s">
        <v>136</v>
      </c>
      <c r="AE31" t="s">
        <v>129</v>
      </c>
      <c r="AF31" t="b">
        <v>0</v>
      </c>
      <c r="AG31" t="s">
        <v>137</v>
      </c>
      <c r="AH31" t="s">
        <v>129</v>
      </c>
      <c r="AI31" t="b">
        <v>0</v>
      </c>
      <c r="AJ31" t="s">
        <v>129</v>
      </c>
      <c r="AK31" t="s">
        <v>129</v>
      </c>
      <c r="AL31" t="s">
        <v>129</v>
      </c>
      <c r="AM31">
        <v>0</v>
      </c>
      <c r="AN31" t="s">
        <v>129</v>
      </c>
      <c r="AO31" t="s">
        <v>263</v>
      </c>
      <c r="AP31" t="s">
        <v>129</v>
      </c>
      <c r="AQ31" t="s">
        <v>139</v>
      </c>
      <c r="AR31" t="s">
        <v>140</v>
      </c>
      <c r="AS31" t="s">
        <v>141</v>
      </c>
      <c r="AT31" t="s">
        <v>129</v>
      </c>
      <c r="AU31" t="s">
        <v>142</v>
      </c>
      <c r="AV31" t="s">
        <v>129</v>
      </c>
      <c r="AW31" t="s">
        <v>13</v>
      </c>
      <c r="AX31" t="s">
        <v>129</v>
      </c>
      <c r="AY31" t="s">
        <v>143</v>
      </c>
      <c r="AZ31" t="s">
        <v>143</v>
      </c>
      <c r="BA31" t="s">
        <v>264</v>
      </c>
      <c r="BB31" t="s">
        <v>265</v>
      </c>
      <c r="BC31" t="s">
        <v>213</v>
      </c>
      <c r="BD31" t="s">
        <v>214</v>
      </c>
      <c r="BE31" t="s">
        <v>148</v>
      </c>
      <c r="BF31" t="s">
        <v>149</v>
      </c>
      <c r="BG31" t="s">
        <v>150</v>
      </c>
      <c r="BH31" t="s">
        <v>151</v>
      </c>
      <c r="BI31" t="s">
        <v>152</v>
      </c>
      <c r="BJ31" t="s">
        <v>129</v>
      </c>
      <c r="BK31" t="s">
        <v>129</v>
      </c>
      <c r="BL31" t="s">
        <v>143</v>
      </c>
    </row>
    <row r="32" spans="1:64" x14ac:dyDescent="0.25">
      <c r="A32" t="s">
        <v>124</v>
      </c>
      <c r="B32">
        <v>7</v>
      </c>
      <c r="C32" t="s">
        <v>313</v>
      </c>
      <c r="D32" t="s">
        <v>126</v>
      </c>
      <c r="E32" t="s">
        <v>127</v>
      </c>
      <c r="F32" t="s">
        <v>128</v>
      </c>
      <c r="G32" t="s">
        <v>129</v>
      </c>
      <c r="H32" t="s">
        <v>43</v>
      </c>
      <c r="I32" t="s">
        <v>314</v>
      </c>
      <c r="J32">
        <v>120</v>
      </c>
      <c r="K32" t="s">
        <v>315</v>
      </c>
      <c r="L32" t="s">
        <v>131</v>
      </c>
      <c r="M32">
        <v>110217</v>
      </c>
      <c r="N32">
        <v>13226040</v>
      </c>
      <c r="O32">
        <v>0</v>
      </c>
      <c r="P32">
        <v>0</v>
      </c>
      <c r="Q32">
        <v>0.1</v>
      </c>
      <c r="R32" t="s">
        <v>129</v>
      </c>
      <c r="S32" t="s">
        <v>316</v>
      </c>
      <c r="T32" t="s">
        <v>129</v>
      </c>
      <c r="U32" t="s">
        <v>317</v>
      </c>
      <c r="V32" t="s">
        <v>129</v>
      </c>
      <c r="W32" t="s">
        <v>129</v>
      </c>
      <c r="X32">
        <v>494.4</v>
      </c>
      <c r="Y32">
        <v>30</v>
      </c>
      <c r="Z32" t="b">
        <v>0</v>
      </c>
      <c r="AA32" t="s">
        <v>129</v>
      </c>
      <c r="AB32" t="s">
        <v>135</v>
      </c>
      <c r="AC32" t="s">
        <v>129</v>
      </c>
      <c r="AD32" t="s">
        <v>136</v>
      </c>
      <c r="AE32" t="s">
        <v>129</v>
      </c>
      <c r="AF32" t="b">
        <v>0</v>
      </c>
      <c r="AG32" t="s">
        <v>273</v>
      </c>
      <c r="AH32" t="s">
        <v>129</v>
      </c>
      <c r="AI32" t="b">
        <v>0</v>
      </c>
      <c r="AJ32" t="s">
        <v>129</v>
      </c>
      <c r="AK32" t="s">
        <v>129</v>
      </c>
      <c r="AL32" t="s">
        <v>129</v>
      </c>
      <c r="AM32">
        <v>0</v>
      </c>
      <c r="AN32" t="s">
        <v>129</v>
      </c>
      <c r="AO32" t="s">
        <v>138</v>
      </c>
      <c r="AP32" t="s">
        <v>129</v>
      </c>
      <c r="AQ32" t="s">
        <v>318</v>
      </c>
      <c r="AR32" t="s">
        <v>140</v>
      </c>
      <c r="AS32" t="s">
        <v>141</v>
      </c>
      <c r="AT32" t="s">
        <v>129</v>
      </c>
      <c r="AU32" t="s">
        <v>142</v>
      </c>
      <c r="AV32" t="s">
        <v>129</v>
      </c>
      <c r="AW32" t="s">
        <v>13</v>
      </c>
      <c r="AX32" t="s">
        <v>129</v>
      </c>
      <c r="AY32" t="s">
        <v>143</v>
      </c>
      <c r="AZ32" t="s">
        <v>143</v>
      </c>
      <c r="BA32" t="s">
        <v>319</v>
      </c>
      <c r="BB32" t="s">
        <v>320</v>
      </c>
      <c r="BC32" t="s">
        <v>213</v>
      </c>
      <c r="BD32" t="s">
        <v>214</v>
      </c>
      <c r="BE32" t="s">
        <v>148</v>
      </c>
      <c r="BF32" t="s">
        <v>149</v>
      </c>
      <c r="BG32" t="s">
        <v>150</v>
      </c>
      <c r="BH32" t="s">
        <v>151</v>
      </c>
      <c r="BI32" t="s">
        <v>152</v>
      </c>
      <c r="BJ32" t="s">
        <v>129</v>
      </c>
      <c r="BK32" t="s">
        <v>129</v>
      </c>
      <c r="BL32" t="s">
        <v>143</v>
      </c>
    </row>
    <row r="33" spans="1:64" x14ac:dyDescent="0.25">
      <c r="A33" t="s">
        <v>124</v>
      </c>
      <c r="B33">
        <v>7</v>
      </c>
      <c r="C33" t="s">
        <v>321</v>
      </c>
      <c r="D33" t="s">
        <v>126</v>
      </c>
      <c r="E33" t="s">
        <v>127</v>
      </c>
      <c r="F33" t="s">
        <v>164</v>
      </c>
      <c r="G33" t="s">
        <v>129</v>
      </c>
      <c r="H33" t="s">
        <v>43</v>
      </c>
      <c r="I33" t="s">
        <v>314</v>
      </c>
      <c r="J33">
        <v>8</v>
      </c>
      <c r="K33" t="s">
        <v>322</v>
      </c>
      <c r="L33" t="s">
        <v>131</v>
      </c>
      <c r="M33">
        <v>76224</v>
      </c>
      <c r="N33">
        <v>609792</v>
      </c>
      <c r="O33">
        <v>0</v>
      </c>
      <c r="P33">
        <v>0</v>
      </c>
      <c r="Q33">
        <v>0</v>
      </c>
      <c r="R33" t="s">
        <v>132</v>
      </c>
      <c r="S33" t="s">
        <v>316</v>
      </c>
      <c r="T33" t="s">
        <v>43</v>
      </c>
      <c r="U33" t="s">
        <v>323</v>
      </c>
      <c r="V33" t="s">
        <v>317</v>
      </c>
      <c r="W33" t="s">
        <v>202</v>
      </c>
      <c r="X33">
        <v>32.96</v>
      </c>
      <c r="Y33">
        <v>2</v>
      </c>
      <c r="Z33" t="b">
        <v>0</v>
      </c>
      <c r="AA33" t="s">
        <v>129</v>
      </c>
      <c r="AB33" t="s">
        <v>135</v>
      </c>
      <c r="AC33" t="s">
        <v>129</v>
      </c>
      <c r="AD33" t="s">
        <v>136</v>
      </c>
      <c r="AE33" t="s">
        <v>129</v>
      </c>
      <c r="AF33" t="b">
        <v>0</v>
      </c>
      <c r="AG33" t="s">
        <v>273</v>
      </c>
      <c r="AH33" t="s">
        <v>129</v>
      </c>
      <c r="AI33" t="b">
        <v>0</v>
      </c>
      <c r="AJ33" t="s">
        <v>129</v>
      </c>
      <c r="AK33" t="s">
        <v>129</v>
      </c>
      <c r="AL33" t="s">
        <v>129</v>
      </c>
      <c r="AM33">
        <v>0</v>
      </c>
      <c r="AN33" t="s">
        <v>129</v>
      </c>
      <c r="AO33" t="s">
        <v>138</v>
      </c>
      <c r="AP33" t="s">
        <v>129</v>
      </c>
      <c r="AQ33" t="s">
        <v>318</v>
      </c>
      <c r="AR33" t="s">
        <v>140</v>
      </c>
      <c r="AS33" t="s">
        <v>141</v>
      </c>
      <c r="AT33" t="s">
        <v>129</v>
      </c>
      <c r="AU33" t="s">
        <v>142</v>
      </c>
      <c r="AV33" t="s">
        <v>129</v>
      </c>
      <c r="AW33" t="s">
        <v>13</v>
      </c>
      <c r="AX33" t="s">
        <v>129</v>
      </c>
      <c r="AY33" t="s">
        <v>143</v>
      </c>
      <c r="AZ33" t="s">
        <v>143</v>
      </c>
      <c r="BA33" t="s">
        <v>319</v>
      </c>
      <c r="BB33" t="s">
        <v>320</v>
      </c>
      <c r="BC33" t="s">
        <v>213</v>
      </c>
      <c r="BD33" t="s">
        <v>214</v>
      </c>
      <c r="BE33" t="s">
        <v>148</v>
      </c>
      <c r="BF33" t="s">
        <v>149</v>
      </c>
      <c r="BG33" t="s">
        <v>150</v>
      </c>
      <c r="BH33" t="s">
        <v>151</v>
      </c>
      <c r="BI33" t="s">
        <v>152</v>
      </c>
      <c r="BJ33" t="s">
        <v>129</v>
      </c>
      <c r="BK33" t="s">
        <v>129</v>
      </c>
      <c r="BL33" t="s">
        <v>143</v>
      </c>
    </row>
    <row r="34" spans="1:64" x14ac:dyDescent="0.25">
      <c r="A34" t="s">
        <v>124</v>
      </c>
      <c r="B34">
        <v>7</v>
      </c>
      <c r="C34" t="s">
        <v>324</v>
      </c>
      <c r="D34" t="s">
        <v>126</v>
      </c>
      <c r="E34" t="s">
        <v>127</v>
      </c>
      <c r="F34" t="s">
        <v>128</v>
      </c>
      <c r="G34" t="s">
        <v>129</v>
      </c>
      <c r="H34" t="s">
        <v>47</v>
      </c>
      <c r="I34" t="s">
        <v>325</v>
      </c>
      <c r="J34">
        <v>2400</v>
      </c>
      <c r="K34" t="s">
        <v>326</v>
      </c>
      <c r="L34" t="s">
        <v>131</v>
      </c>
      <c r="M34">
        <v>11659</v>
      </c>
      <c r="N34">
        <v>27981600</v>
      </c>
      <c r="O34">
        <v>0</v>
      </c>
      <c r="P34">
        <v>0</v>
      </c>
      <c r="Q34">
        <v>0.1</v>
      </c>
      <c r="R34" t="s">
        <v>129</v>
      </c>
      <c r="S34" t="s">
        <v>222</v>
      </c>
      <c r="T34" t="s">
        <v>129</v>
      </c>
      <c r="U34" t="s">
        <v>327</v>
      </c>
      <c r="V34" t="s">
        <v>129</v>
      </c>
      <c r="W34" t="s">
        <v>129</v>
      </c>
      <c r="X34">
        <v>2400</v>
      </c>
      <c r="Y34">
        <v>200</v>
      </c>
      <c r="Z34" t="b">
        <v>0</v>
      </c>
      <c r="AA34" t="s">
        <v>129</v>
      </c>
      <c r="AB34" t="s">
        <v>135</v>
      </c>
      <c r="AC34" t="s">
        <v>129</v>
      </c>
      <c r="AD34" t="s">
        <v>136</v>
      </c>
      <c r="AE34" t="s">
        <v>129</v>
      </c>
      <c r="AF34" t="b">
        <v>0</v>
      </c>
      <c r="AG34" t="s">
        <v>137</v>
      </c>
      <c r="AH34" t="s">
        <v>129</v>
      </c>
      <c r="AI34" t="b">
        <v>0</v>
      </c>
      <c r="AJ34" t="s">
        <v>129</v>
      </c>
      <c r="AK34" t="s">
        <v>129</v>
      </c>
      <c r="AL34" t="s">
        <v>129</v>
      </c>
      <c r="AM34">
        <v>0</v>
      </c>
      <c r="AN34" t="s">
        <v>129</v>
      </c>
      <c r="AO34" t="s">
        <v>292</v>
      </c>
      <c r="AP34" t="s">
        <v>129</v>
      </c>
      <c r="AQ34" t="s">
        <v>225</v>
      </c>
      <c r="AR34" t="s">
        <v>140</v>
      </c>
      <c r="AS34" t="s">
        <v>141</v>
      </c>
      <c r="AT34" t="s">
        <v>129</v>
      </c>
      <c r="AU34" t="s">
        <v>142</v>
      </c>
      <c r="AV34" t="s">
        <v>129</v>
      </c>
      <c r="AW34" t="s">
        <v>14</v>
      </c>
      <c r="AX34" t="s">
        <v>129</v>
      </c>
      <c r="AY34" t="s">
        <v>143</v>
      </c>
      <c r="AZ34" t="s">
        <v>143</v>
      </c>
      <c r="BA34" t="s">
        <v>328</v>
      </c>
      <c r="BB34" t="s">
        <v>329</v>
      </c>
      <c r="BC34" t="s">
        <v>328</v>
      </c>
      <c r="BD34" t="s">
        <v>330</v>
      </c>
      <c r="BE34" t="s">
        <v>148</v>
      </c>
      <c r="BF34" t="s">
        <v>149</v>
      </c>
      <c r="BG34" t="s">
        <v>150</v>
      </c>
      <c r="BH34" t="s">
        <v>151</v>
      </c>
      <c r="BI34" t="s">
        <v>152</v>
      </c>
      <c r="BJ34" t="s">
        <v>129</v>
      </c>
      <c r="BK34" t="s">
        <v>129</v>
      </c>
      <c r="BL34" t="s">
        <v>143</v>
      </c>
    </row>
    <row r="35" spans="1:64" x14ac:dyDescent="0.25">
      <c r="A35" t="s">
        <v>124</v>
      </c>
      <c r="B35">
        <v>7</v>
      </c>
      <c r="C35" t="s">
        <v>324</v>
      </c>
      <c r="D35" t="s">
        <v>126</v>
      </c>
      <c r="E35" t="s">
        <v>127</v>
      </c>
      <c r="F35" t="s">
        <v>128</v>
      </c>
      <c r="G35" t="s">
        <v>129</v>
      </c>
      <c r="H35" t="s">
        <v>48</v>
      </c>
      <c r="I35" t="s">
        <v>331</v>
      </c>
      <c r="J35">
        <v>3360</v>
      </c>
      <c r="K35" t="s">
        <v>326</v>
      </c>
      <c r="L35" t="s">
        <v>131</v>
      </c>
      <c r="M35">
        <v>11904</v>
      </c>
      <c r="N35">
        <v>39997440</v>
      </c>
      <c r="O35">
        <v>0</v>
      </c>
      <c r="P35">
        <v>0</v>
      </c>
      <c r="Q35">
        <v>0.1</v>
      </c>
      <c r="R35" t="s">
        <v>129</v>
      </c>
      <c r="S35" t="s">
        <v>222</v>
      </c>
      <c r="T35" t="s">
        <v>129</v>
      </c>
      <c r="U35" t="s">
        <v>332</v>
      </c>
      <c r="V35" t="s">
        <v>129</v>
      </c>
      <c r="W35" t="s">
        <v>129</v>
      </c>
      <c r="X35">
        <v>2741.76</v>
      </c>
      <c r="Y35">
        <v>280</v>
      </c>
      <c r="Z35" t="b">
        <v>0</v>
      </c>
      <c r="AA35" t="s">
        <v>129</v>
      </c>
      <c r="AB35" t="s">
        <v>135</v>
      </c>
      <c r="AC35" t="s">
        <v>129</v>
      </c>
      <c r="AD35" t="s">
        <v>136</v>
      </c>
      <c r="AE35" t="s">
        <v>129</v>
      </c>
      <c r="AF35" t="b">
        <v>0</v>
      </c>
      <c r="AG35" t="s">
        <v>137</v>
      </c>
      <c r="AH35" t="s">
        <v>129</v>
      </c>
      <c r="AI35" t="b">
        <v>0</v>
      </c>
      <c r="AJ35" t="s">
        <v>129</v>
      </c>
      <c r="AK35" t="s">
        <v>129</v>
      </c>
      <c r="AL35" t="s">
        <v>129</v>
      </c>
      <c r="AM35">
        <v>0</v>
      </c>
      <c r="AN35" t="s">
        <v>129</v>
      </c>
      <c r="AO35" t="s">
        <v>224</v>
      </c>
      <c r="AP35" t="s">
        <v>129</v>
      </c>
      <c r="AQ35" t="s">
        <v>225</v>
      </c>
      <c r="AR35" t="s">
        <v>140</v>
      </c>
      <c r="AS35" t="s">
        <v>141</v>
      </c>
      <c r="AT35" t="s">
        <v>129</v>
      </c>
      <c r="AU35" t="s">
        <v>142</v>
      </c>
      <c r="AV35" t="s">
        <v>129</v>
      </c>
      <c r="AW35" t="s">
        <v>14</v>
      </c>
      <c r="AX35" t="s">
        <v>129</v>
      </c>
      <c r="AY35" t="s">
        <v>143</v>
      </c>
      <c r="AZ35" t="s">
        <v>143</v>
      </c>
      <c r="BA35" t="s">
        <v>226</v>
      </c>
      <c r="BB35" t="s">
        <v>227</v>
      </c>
      <c r="BC35" t="s">
        <v>146</v>
      </c>
      <c r="BD35" t="s">
        <v>147</v>
      </c>
      <c r="BE35" t="s">
        <v>148</v>
      </c>
      <c r="BF35" t="s">
        <v>149</v>
      </c>
      <c r="BG35" t="s">
        <v>150</v>
      </c>
      <c r="BH35" t="s">
        <v>151</v>
      </c>
      <c r="BI35" t="s">
        <v>152</v>
      </c>
      <c r="BJ35" t="s">
        <v>129</v>
      </c>
      <c r="BK35" t="s">
        <v>129</v>
      </c>
      <c r="BL35" t="s">
        <v>143</v>
      </c>
    </row>
    <row r="36" spans="1:64" x14ac:dyDescent="0.25">
      <c r="A36" t="s">
        <v>124</v>
      </c>
      <c r="B36">
        <v>7</v>
      </c>
      <c r="C36" t="s">
        <v>333</v>
      </c>
      <c r="D36" t="s">
        <v>126</v>
      </c>
      <c r="E36" t="s">
        <v>127</v>
      </c>
      <c r="F36" t="s">
        <v>171</v>
      </c>
      <c r="G36" t="s">
        <v>129</v>
      </c>
      <c r="H36" t="s">
        <v>55</v>
      </c>
      <c r="I36" t="s">
        <v>18</v>
      </c>
      <c r="J36">
        <v>1056</v>
      </c>
      <c r="K36" t="s">
        <v>334</v>
      </c>
      <c r="L36" t="s">
        <v>131</v>
      </c>
      <c r="M36">
        <v>25680</v>
      </c>
      <c r="N36">
        <v>27118080</v>
      </c>
      <c r="O36">
        <v>0</v>
      </c>
      <c r="P36">
        <v>0</v>
      </c>
      <c r="Q36">
        <v>0.1</v>
      </c>
      <c r="R36" t="s">
        <v>129</v>
      </c>
      <c r="S36" t="s">
        <v>173</v>
      </c>
      <c r="T36" t="s">
        <v>129</v>
      </c>
      <c r="U36" t="s">
        <v>335</v>
      </c>
      <c r="V36" t="s">
        <v>129</v>
      </c>
      <c r="W36" t="s">
        <v>129</v>
      </c>
      <c r="X36">
        <v>1056</v>
      </c>
      <c r="Y36">
        <v>88</v>
      </c>
      <c r="Z36" t="b">
        <v>0</v>
      </c>
      <c r="AA36" t="s">
        <v>129</v>
      </c>
      <c r="AB36" t="s">
        <v>135</v>
      </c>
      <c r="AC36" t="s">
        <v>129</v>
      </c>
      <c r="AD36" t="s">
        <v>136</v>
      </c>
      <c r="AE36" t="s">
        <v>129</v>
      </c>
      <c r="AF36" t="b">
        <v>0</v>
      </c>
      <c r="AG36" t="s">
        <v>137</v>
      </c>
      <c r="AH36" t="s">
        <v>129</v>
      </c>
      <c r="AI36" t="b">
        <v>0</v>
      </c>
      <c r="AJ36" t="s">
        <v>129</v>
      </c>
      <c r="AK36" t="s">
        <v>129</v>
      </c>
      <c r="AL36" t="s">
        <v>129</v>
      </c>
      <c r="AM36">
        <v>0</v>
      </c>
      <c r="AN36" t="s">
        <v>129</v>
      </c>
      <c r="AO36" t="s">
        <v>292</v>
      </c>
      <c r="AP36" t="s">
        <v>129</v>
      </c>
      <c r="AQ36" t="s">
        <v>176</v>
      </c>
      <c r="AR36" t="s">
        <v>140</v>
      </c>
      <c r="AS36" t="s">
        <v>141</v>
      </c>
      <c r="AT36" t="s">
        <v>129</v>
      </c>
      <c r="AU36" t="s">
        <v>142</v>
      </c>
      <c r="AV36" t="s">
        <v>129</v>
      </c>
      <c r="AW36" t="s">
        <v>16</v>
      </c>
      <c r="AX36" t="s">
        <v>129</v>
      </c>
      <c r="AY36" t="s">
        <v>143</v>
      </c>
      <c r="AZ36" t="s">
        <v>143</v>
      </c>
      <c r="BA36" t="s">
        <v>336</v>
      </c>
      <c r="BB36" t="s">
        <v>337</v>
      </c>
      <c r="BC36" t="s">
        <v>338</v>
      </c>
      <c r="BD36" t="s">
        <v>339</v>
      </c>
      <c r="BE36" t="s">
        <v>148</v>
      </c>
      <c r="BF36" t="s">
        <v>149</v>
      </c>
      <c r="BG36" t="s">
        <v>150</v>
      </c>
      <c r="BH36" t="s">
        <v>151</v>
      </c>
      <c r="BI36" t="s">
        <v>152</v>
      </c>
      <c r="BJ36" t="s">
        <v>129</v>
      </c>
      <c r="BK36" t="s">
        <v>129</v>
      </c>
      <c r="BL36" t="s">
        <v>143</v>
      </c>
    </row>
    <row r="37" spans="1:64" x14ac:dyDescent="0.25">
      <c r="A37" t="s">
        <v>124</v>
      </c>
      <c r="B37">
        <v>8</v>
      </c>
      <c r="C37" t="s">
        <v>340</v>
      </c>
      <c r="D37" t="s">
        <v>126</v>
      </c>
      <c r="E37" t="s">
        <v>127</v>
      </c>
      <c r="F37" t="s">
        <v>171</v>
      </c>
      <c r="G37" t="s">
        <v>129</v>
      </c>
      <c r="H37" t="s">
        <v>57</v>
      </c>
      <c r="I37" t="s">
        <v>9</v>
      </c>
      <c r="J37">
        <v>600</v>
      </c>
      <c r="K37" t="s">
        <v>341</v>
      </c>
      <c r="L37" t="s">
        <v>131</v>
      </c>
      <c r="M37">
        <v>83719</v>
      </c>
      <c r="N37">
        <v>50231400</v>
      </c>
      <c r="O37">
        <v>0</v>
      </c>
      <c r="P37">
        <v>0</v>
      </c>
      <c r="Q37">
        <v>0.1</v>
      </c>
      <c r="R37" t="s">
        <v>129</v>
      </c>
      <c r="S37" t="s">
        <v>173</v>
      </c>
      <c r="T37" t="s">
        <v>129</v>
      </c>
      <c r="U37" t="s">
        <v>342</v>
      </c>
      <c r="V37" t="s">
        <v>129</v>
      </c>
      <c r="W37" t="s">
        <v>129</v>
      </c>
      <c r="X37">
        <v>2160</v>
      </c>
      <c r="Y37">
        <v>150</v>
      </c>
      <c r="Z37" t="b">
        <v>0</v>
      </c>
      <c r="AA37" t="s">
        <v>129</v>
      </c>
      <c r="AB37" t="s">
        <v>135</v>
      </c>
      <c r="AC37" t="s">
        <v>129</v>
      </c>
      <c r="AD37" t="s">
        <v>136</v>
      </c>
      <c r="AE37" t="s">
        <v>129</v>
      </c>
      <c r="AF37" t="b">
        <v>0</v>
      </c>
      <c r="AG37" t="s">
        <v>137</v>
      </c>
      <c r="AH37" t="s">
        <v>129</v>
      </c>
      <c r="AI37" t="b">
        <v>0</v>
      </c>
      <c r="AJ37" t="s">
        <v>129</v>
      </c>
      <c r="AK37" t="s">
        <v>129</v>
      </c>
      <c r="AL37" t="s">
        <v>129</v>
      </c>
      <c r="AM37">
        <v>0</v>
      </c>
      <c r="AN37" t="s">
        <v>129</v>
      </c>
      <c r="AO37" t="s">
        <v>138</v>
      </c>
      <c r="AP37" t="s">
        <v>129</v>
      </c>
      <c r="AQ37" t="s">
        <v>176</v>
      </c>
      <c r="AR37" t="s">
        <v>140</v>
      </c>
      <c r="AS37" t="s">
        <v>141</v>
      </c>
      <c r="AT37" t="s">
        <v>129</v>
      </c>
      <c r="AU37" t="s">
        <v>142</v>
      </c>
      <c r="AV37" t="s">
        <v>129</v>
      </c>
      <c r="AW37" t="s">
        <v>16</v>
      </c>
      <c r="AX37" t="s">
        <v>129</v>
      </c>
      <c r="AY37" t="s">
        <v>143</v>
      </c>
      <c r="AZ37" t="s">
        <v>143</v>
      </c>
      <c r="BA37" t="s">
        <v>297</v>
      </c>
      <c r="BB37" t="s">
        <v>298</v>
      </c>
      <c r="BC37" t="s">
        <v>299</v>
      </c>
      <c r="BD37" t="s">
        <v>300</v>
      </c>
      <c r="BE37" t="s">
        <v>148</v>
      </c>
      <c r="BF37" t="s">
        <v>149</v>
      </c>
      <c r="BG37" t="s">
        <v>150</v>
      </c>
      <c r="BH37" t="s">
        <v>151</v>
      </c>
      <c r="BI37" t="s">
        <v>152</v>
      </c>
      <c r="BJ37" t="s">
        <v>129</v>
      </c>
      <c r="BK37" t="s">
        <v>129</v>
      </c>
      <c r="BL37" t="s">
        <v>143</v>
      </c>
    </row>
    <row r="38" spans="1:64" x14ac:dyDescent="0.25">
      <c r="A38" t="s">
        <v>124</v>
      </c>
      <c r="B38">
        <v>8</v>
      </c>
      <c r="C38" t="s">
        <v>340</v>
      </c>
      <c r="D38" t="s">
        <v>126</v>
      </c>
      <c r="E38" t="s">
        <v>127</v>
      </c>
      <c r="F38" t="s">
        <v>171</v>
      </c>
      <c r="G38" t="s">
        <v>129</v>
      </c>
      <c r="H38" t="s">
        <v>58</v>
      </c>
      <c r="I38" t="s">
        <v>343</v>
      </c>
      <c r="J38">
        <v>1200</v>
      </c>
      <c r="K38" t="s">
        <v>341</v>
      </c>
      <c r="L38" t="s">
        <v>131</v>
      </c>
      <c r="M38">
        <v>96048</v>
      </c>
      <c r="N38">
        <v>115257600</v>
      </c>
      <c r="O38">
        <v>0</v>
      </c>
      <c r="P38">
        <v>0</v>
      </c>
      <c r="Q38">
        <v>0.1</v>
      </c>
      <c r="R38" t="s">
        <v>129</v>
      </c>
      <c r="S38" t="s">
        <v>173</v>
      </c>
      <c r="T38" t="s">
        <v>129</v>
      </c>
      <c r="U38" t="s">
        <v>344</v>
      </c>
      <c r="V38" t="s">
        <v>129</v>
      </c>
      <c r="W38" t="s">
        <v>129</v>
      </c>
      <c r="X38">
        <v>4320</v>
      </c>
      <c r="Y38">
        <v>300</v>
      </c>
      <c r="Z38" t="b">
        <v>0</v>
      </c>
      <c r="AA38" t="s">
        <v>129</v>
      </c>
      <c r="AB38" t="s">
        <v>135</v>
      </c>
      <c r="AC38" t="s">
        <v>129</v>
      </c>
      <c r="AD38" t="s">
        <v>136</v>
      </c>
      <c r="AE38" t="s">
        <v>129</v>
      </c>
      <c r="AF38" t="b">
        <v>0</v>
      </c>
      <c r="AG38" t="s">
        <v>137</v>
      </c>
      <c r="AH38" t="s">
        <v>129</v>
      </c>
      <c r="AI38" t="b">
        <v>0</v>
      </c>
      <c r="AJ38" t="s">
        <v>129</v>
      </c>
      <c r="AK38" t="s">
        <v>129</v>
      </c>
      <c r="AL38" t="s">
        <v>129</v>
      </c>
      <c r="AM38">
        <v>0</v>
      </c>
      <c r="AN38" t="s">
        <v>129</v>
      </c>
      <c r="AO38" t="s">
        <v>138</v>
      </c>
      <c r="AP38" t="s">
        <v>129</v>
      </c>
      <c r="AQ38" t="s">
        <v>176</v>
      </c>
      <c r="AR38" t="s">
        <v>140</v>
      </c>
      <c r="AS38" t="s">
        <v>141</v>
      </c>
      <c r="AT38" t="s">
        <v>129</v>
      </c>
      <c r="AU38" t="s">
        <v>142</v>
      </c>
      <c r="AV38" t="s">
        <v>129</v>
      </c>
      <c r="AW38" t="s">
        <v>16</v>
      </c>
      <c r="AX38" t="s">
        <v>129</v>
      </c>
      <c r="AY38" t="s">
        <v>143</v>
      </c>
      <c r="AZ38" t="s">
        <v>143</v>
      </c>
      <c r="BA38" t="s">
        <v>345</v>
      </c>
      <c r="BB38" t="s">
        <v>346</v>
      </c>
      <c r="BC38" t="s">
        <v>347</v>
      </c>
      <c r="BD38" t="s">
        <v>348</v>
      </c>
      <c r="BE38" t="s">
        <v>148</v>
      </c>
      <c r="BF38" t="s">
        <v>149</v>
      </c>
      <c r="BG38" t="s">
        <v>150</v>
      </c>
      <c r="BH38" t="s">
        <v>151</v>
      </c>
      <c r="BI38" t="s">
        <v>152</v>
      </c>
      <c r="BJ38" t="s">
        <v>129</v>
      </c>
      <c r="BK38" t="s">
        <v>129</v>
      </c>
      <c r="BL38" t="s">
        <v>143</v>
      </c>
    </row>
    <row r="39" spans="1:64" x14ac:dyDescent="0.25">
      <c r="A39" t="s">
        <v>124</v>
      </c>
      <c r="B39">
        <v>9</v>
      </c>
      <c r="C39" t="s">
        <v>349</v>
      </c>
      <c r="D39" t="s">
        <v>126</v>
      </c>
      <c r="E39" t="s">
        <v>127</v>
      </c>
      <c r="F39" t="s">
        <v>171</v>
      </c>
      <c r="G39" t="s">
        <v>129</v>
      </c>
      <c r="H39" t="s">
        <v>54</v>
      </c>
      <c r="I39" t="s">
        <v>17</v>
      </c>
      <c r="J39">
        <v>864</v>
      </c>
      <c r="K39" t="s">
        <v>350</v>
      </c>
      <c r="L39" t="s">
        <v>131</v>
      </c>
      <c r="M39">
        <v>16580</v>
      </c>
      <c r="N39">
        <v>14325120</v>
      </c>
      <c r="O39">
        <v>0</v>
      </c>
      <c r="P39">
        <v>0</v>
      </c>
      <c r="Q39">
        <v>0.1</v>
      </c>
      <c r="R39" t="s">
        <v>129</v>
      </c>
      <c r="S39" t="s">
        <v>173</v>
      </c>
      <c r="T39" t="s">
        <v>129</v>
      </c>
      <c r="U39" t="s">
        <v>351</v>
      </c>
      <c r="V39" t="s">
        <v>129</v>
      </c>
      <c r="W39" t="s">
        <v>129</v>
      </c>
      <c r="X39">
        <v>864</v>
      </c>
      <c r="Y39">
        <v>72</v>
      </c>
      <c r="Z39" t="b">
        <v>0</v>
      </c>
      <c r="AA39" t="s">
        <v>129</v>
      </c>
      <c r="AB39" t="s">
        <v>135</v>
      </c>
      <c r="AC39" t="s">
        <v>129</v>
      </c>
      <c r="AD39" t="s">
        <v>136</v>
      </c>
      <c r="AE39" t="s">
        <v>129</v>
      </c>
      <c r="AF39" t="b">
        <v>0</v>
      </c>
      <c r="AG39" t="s">
        <v>137</v>
      </c>
      <c r="AH39" t="s">
        <v>129</v>
      </c>
      <c r="AI39" t="b">
        <v>0</v>
      </c>
      <c r="AJ39" t="s">
        <v>129</v>
      </c>
      <c r="AK39" t="s">
        <v>129</v>
      </c>
      <c r="AL39" t="s">
        <v>129</v>
      </c>
      <c r="AM39">
        <v>0</v>
      </c>
      <c r="AN39" t="s">
        <v>129</v>
      </c>
      <c r="AO39" t="s">
        <v>352</v>
      </c>
      <c r="AP39" t="s">
        <v>129</v>
      </c>
      <c r="AQ39" t="s">
        <v>176</v>
      </c>
      <c r="AR39" t="s">
        <v>140</v>
      </c>
      <c r="AS39" t="s">
        <v>141</v>
      </c>
      <c r="AT39" t="s">
        <v>129</v>
      </c>
      <c r="AU39" t="s">
        <v>142</v>
      </c>
      <c r="AV39" t="s">
        <v>129</v>
      </c>
      <c r="AW39" t="s">
        <v>16</v>
      </c>
      <c r="AX39" t="s">
        <v>129</v>
      </c>
      <c r="AY39" t="s">
        <v>143</v>
      </c>
      <c r="AZ39" t="s">
        <v>143</v>
      </c>
      <c r="BA39" t="s">
        <v>353</v>
      </c>
      <c r="BB39" t="s">
        <v>354</v>
      </c>
      <c r="BC39" t="s">
        <v>355</v>
      </c>
      <c r="BD39" t="s">
        <v>356</v>
      </c>
      <c r="BE39" t="s">
        <v>148</v>
      </c>
      <c r="BF39" t="s">
        <v>149</v>
      </c>
      <c r="BG39" t="s">
        <v>150</v>
      </c>
      <c r="BH39" t="s">
        <v>151</v>
      </c>
      <c r="BI39" t="s">
        <v>152</v>
      </c>
      <c r="BJ39" t="s">
        <v>129</v>
      </c>
      <c r="BK39" t="s">
        <v>129</v>
      </c>
      <c r="BL39" t="s">
        <v>143</v>
      </c>
    </row>
    <row r="40" spans="1:64" x14ac:dyDescent="0.25">
      <c r="A40" t="s">
        <v>124</v>
      </c>
      <c r="B40">
        <v>9</v>
      </c>
      <c r="C40" t="s">
        <v>357</v>
      </c>
      <c r="D40" t="s">
        <v>126</v>
      </c>
      <c r="E40" t="s">
        <v>127</v>
      </c>
      <c r="F40" t="s">
        <v>128</v>
      </c>
      <c r="G40" t="s">
        <v>129</v>
      </c>
      <c r="H40" t="s">
        <v>44</v>
      </c>
      <c r="I40" t="s">
        <v>358</v>
      </c>
      <c r="J40">
        <v>720</v>
      </c>
      <c r="K40" t="s">
        <v>359</v>
      </c>
      <c r="L40" t="s">
        <v>131</v>
      </c>
      <c r="M40">
        <v>27663</v>
      </c>
      <c r="N40">
        <v>19917360</v>
      </c>
      <c r="O40">
        <v>0</v>
      </c>
      <c r="P40">
        <v>0</v>
      </c>
      <c r="Q40">
        <v>0.1</v>
      </c>
      <c r="R40" t="s">
        <v>129</v>
      </c>
      <c r="S40" t="s">
        <v>222</v>
      </c>
      <c r="T40" t="s">
        <v>129</v>
      </c>
      <c r="U40" t="s">
        <v>360</v>
      </c>
      <c r="V40" t="s">
        <v>129</v>
      </c>
      <c r="W40" t="s">
        <v>129</v>
      </c>
      <c r="X40">
        <v>1321.92</v>
      </c>
      <c r="Y40">
        <v>90</v>
      </c>
      <c r="Z40" t="b">
        <v>0</v>
      </c>
      <c r="AA40" t="s">
        <v>129</v>
      </c>
      <c r="AB40" t="s">
        <v>135</v>
      </c>
      <c r="AC40" t="s">
        <v>129</v>
      </c>
      <c r="AD40" t="s">
        <v>136</v>
      </c>
      <c r="AE40" t="s">
        <v>129</v>
      </c>
      <c r="AF40" t="b">
        <v>0</v>
      </c>
      <c r="AG40" t="s">
        <v>137</v>
      </c>
      <c r="AH40" t="s">
        <v>129</v>
      </c>
      <c r="AI40" t="b">
        <v>0</v>
      </c>
      <c r="AJ40" t="s">
        <v>129</v>
      </c>
      <c r="AK40" t="s">
        <v>129</v>
      </c>
      <c r="AL40" t="s">
        <v>129</v>
      </c>
      <c r="AM40">
        <v>0</v>
      </c>
      <c r="AN40" t="s">
        <v>129</v>
      </c>
      <c r="AO40" t="s">
        <v>154</v>
      </c>
      <c r="AP40" t="s">
        <v>129</v>
      </c>
      <c r="AQ40" t="s">
        <v>225</v>
      </c>
      <c r="AR40" t="s">
        <v>140</v>
      </c>
      <c r="AS40" t="s">
        <v>141</v>
      </c>
      <c r="AT40" t="s">
        <v>129</v>
      </c>
      <c r="AU40" t="s">
        <v>142</v>
      </c>
      <c r="AV40" t="s">
        <v>129</v>
      </c>
      <c r="AW40" t="s">
        <v>14</v>
      </c>
      <c r="AX40" t="s">
        <v>129</v>
      </c>
      <c r="AY40" t="s">
        <v>143</v>
      </c>
      <c r="AZ40" t="s">
        <v>143</v>
      </c>
      <c r="BA40" t="s">
        <v>361</v>
      </c>
      <c r="BB40" t="s">
        <v>362</v>
      </c>
      <c r="BC40" t="s">
        <v>146</v>
      </c>
      <c r="BD40" t="s">
        <v>147</v>
      </c>
      <c r="BE40" t="s">
        <v>148</v>
      </c>
      <c r="BF40" t="s">
        <v>149</v>
      </c>
      <c r="BG40" t="s">
        <v>150</v>
      </c>
      <c r="BH40" t="s">
        <v>151</v>
      </c>
      <c r="BI40" t="s">
        <v>152</v>
      </c>
      <c r="BJ40" t="s">
        <v>129</v>
      </c>
      <c r="BK40" t="s">
        <v>129</v>
      </c>
      <c r="BL40" t="s">
        <v>143</v>
      </c>
    </row>
    <row r="41" spans="1:64" x14ac:dyDescent="0.25">
      <c r="A41" t="s">
        <v>124</v>
      </c>
      <c r="B41">
        <v>9</v>
      </c>
      <c r="C41" t="s">
        <v>357</v>
      </c>
      <c r="D41" t="s">
        <v>126</v>
      </c>
      <c r="E41" t="s">
        <v>127</v>
      </c>
      <c r="F41" t="s">
        <v>128</v>
      </c>
      <c r="G41" t="s">
        <v>129</v>
      </c>
      <c r="H41" t="s">
        <v>45</v>
      </c>
      <c r="I41" t="s">
        <v>363</v>
      </c>
      <c r="J41">
        <v>720</v>
      </c>
      <c r="K41" t="s">
        <v>359</v>
      </c>
      <c r="L41" t="s">
        <v>131</v>
      </c>
      <c r="M41">
        <v>27663</v>
      </c>
      <c r="N41">
        <v>19917360</v>
      </c>
      <c r="O41">
        <v>0</v>
      </c>
      <c r="P41">
        <v>0</v>
      </c>
      <c r="Q41">
        <v>0.1</v>
      </c>
      <c r="R41" t="s">
        <v>129</v>
      </c>
      <c r="S41" t="s">
        <v>222</v>
      </c>
      <c r="T41" t="s">
        <v>129</v>
      </c>
      <c r="U41" t="s">
        <v>364</v>
      </c>
      <c r="V41" t="s">
        <v>129</v>
      </c>
      <c r="W41" t="s">
        <v>129</v>
      </c>
      <c r="X41">
        <v>1321.92</v>
      </c>
      <c r="Y41">
        <v>90</v>
      </c>
      <c r="Z41" t="b">
        <v>0</v>
      </c>
      <c r="AA41" t="s">
        <v>129</v>
      </c>
      <c r="AB41" t="s">
        <v>135</v>
      </c>
      <c r="AC41" t="s">
        <v>129</v>
      </c>
      <c r="AD41" t="s">
        <v>136</v>
      </c>
      <c r="AE41" t="s">
        <v>129</v>
      </c>
      <c r="AF41" t="b">
        <v>0</v>
      </c>
      <c r="AG41" t="s">
        <v>137</v>
      </c>
      <c r="AH41" t="s">
        <v>129</v>
      </c>
      <c r="AI41" t="b">
        <v>0</v>
      </c>
      <c r="AJ41" t="s">
        <v>129</v>
      </c>
      <c r="AK41" t="s">
        <v>129</v>
      </c>
      <c r="AL41" t="s">
        <v>129</v>
      </c>
      <c r="AM41">
        <v>0</v>
      </c>
      <c r="AN41" t="s">
        <v>129</v>
      </c>
      <c r="AO41" t="s">
        <v>154</v>
      </c>
      <c r="AP41" t="s">
        <v>129</v>
      </c>
      <c r="AQ41" t="s">
        <v>225</v>
      </c>
      <c r="AR41" t="s">
        <v>140</v>
      </c>
      <c r="AS41" t="s">
        <v>141</v>
      </c>
      <c r="AT41" t="s">
        <v>129</v>
      </c>
      <c r="AU41" t="s">
        <v>142</v>
      </c>
      <c r="AV41" t="s">
        <v>129</v>
      </c>
      <c r="AW41" t="s">
        <v>14</v>
      </c>
      <c r="AX41" t="s">
        <v>129</v>
      </c>
      <c r="AY41" t="s">
        <v>143</v>
      </c>
      <c r="AZ41" t="s">
        <v>143</v>
      </c>
      <c r="BA41" t="s">
        <v>365</v>
      </c>
      <c r="BB41" t="s">
        <v>366</v>
      </c>
      <c r="BC41" t="s">
        <v>146</v>
      </c>
      <c r="BD41" t="s">
        <v>147</v>
      </c>
      <c r="BE41" t="s">
        <v>148</v>
      </c>
      <c r="BF41" t="s">
        <v>149</v>
      </c>
      <c r="BG41" t="s">
        <v>150</v>
      </c>
      <c r="BH41" t="s">
        <v>151</v>
      </c>
      <c r="BI41" t="s">
        <v>152</v>
      </c>
      <c r="BJ41" t="s">
        <v>129</v>
      </c>
      <c r="BK41" t="s">
        <v>129</v>
      </c>
      <c r="BL41" t="s">
        <v>143</v>
      </c>
    </row>
    <row r="42" spans="1:64" x14ac:dyDescent="0.25">
      <c r="A42" t="s">
        <v>124</v>
      </c>
      <c r="B42">
        <v>9</v>
      </c>
      <c r="C42" t="s">
        <v>357</v>
      </c>
      <c r="D42" t="s">
        <v>126</v>
      </c>
      <c r="E42" t="s">
        <v>127</v>
      </c>
      <c r="F42" t="s">
        <v>128</v>
      </c>
      <c r="G42" t="s">
        <v>129</v>
      </c>
      <c r="H42" t="s">
        <v>46</v>
      </c>
      <c r="I42" t="s">
        <v>367</v>
      </c>
      <c r="J42">
        <v>1728</v>
      </c>
      <c r="K42" t="s">
        <v>359</v>
      </c>
      <c r="L42" t="s">
        <v>131</v>
      </c>
      <c r="M42">
        <v>10619</v>
      </c>
      <c r="N42">
        <v>18349632</v>
      </c>
      <c r="O42">
        <v>0</v>
      </c>
      <c r="P42">
        <v>0</v>
      </c>
      <c r="Q42">
        <v>0.1</v>
      </c>
      <c r="R42" t="s">
        <v>129</v>
      </c>
      <c r="S42" t="s">
        <v>222</v>
      </c>
      <c r="T42" t="s">
        <v>129</v>
      </c>
      <c r="U42" t="s">
        <v>368</v>
      </c>
      <c r="V42" t="s">
        <v>129</v>
      </c>
      <c r="W42" t="s">
        <v>129</v>
      </c>
      <c r="X42">
        <v>915.84</v>
      </c>
      <c r="Y42">
        <v>72</v>
      </c>
      <c r="Z42" t="b">
        <v>0</v>
      </c>
      <c r="AA42" t="s">
        <v>129</v>
      </c>
      <c r="AB42" t="s">
        <v>135</v>
      </c>
      <c r="AC42" t="s">
        <v>129</v>
      </c>
      <c r="AD42" t="s">
        <v>136</v>
      </c>
      <c r="AE42" t="s">
        <v>129</v>
      </c>
      <c r="AF42" t="b">
        <v>0</v>
      </c>
      <c r="AG42" t="s">
        <v>137</v>
      </c>
      <c r="AH42" t="s">
        <v>129</v>
      </c>
      <c r="AI42" t="b">
        <v>0</v>
      </c>
      <c r="AJ42" t="s">
        <v>129</v>
      </c>
      <c r="AK42" t="s">
        <v>129</v>
      </c>
      <c r="AL42" t="s">
        <v>129</v>
      </c>
      <c r="AM42">
        <v>0</v>
      </c>
      <c r="AN42" t="s">
        <v>129</v>
      </c>
      <c r="AO42" t="s">
        <v>369</v>
      </c>
      <c r="AP42" t="s">
        <v>129</v>
      </c>
      <c r="AQ42" t="s">
        <v>225</v>
      </c>
      <c r="AR42" t="s">
        <v>140</v>
      </c>
      <c r="AS42" t="s">
        <v>141</v>
      </c>
      <c r="AT42" t="s">
        <v>129</v>
      </c>
      <c r="AU42" t="s">
        <v>142</v>
      </c>
      <c r="AV42" t="s">
        <v>129</v>
      </c>
      <c r="AW42" t="s">
        <v>14</v>
      </c>
      <c r="AX42" t="s">
        <v>129</v>
      </c>
      <c r="AY42" t="s">
        <v>143</v>
      </c>
      <c r="AZ42" t="s">
        <v>143</v>
      </c>
      <c r="BA42" t="s">
        <v>370</v>
      </c>
      <c r="BB42" t="s">
        <v>371</v>
      </c>
      <c r="BC42" t="s">
        <v>372</v>
      </c>
      <c r="BD42" t="s">
        <v>373</v>
      </c>
      <c r="BE42" t="s">
        <v>148</v>
      </c>
      <c r="BF42" t="s">
        <v>149</v>
      </c>
      <c r="BG42" t="s">
        <v>150</v>
      </c>
      <c r="BH42" t="s">
        <v>151</v>
      </c>
      <c r="BI42" t="s">
        <v>152</v>
      </c>
      <c r="BJ42" t="s">
        <v>129</v>
      </c>
      <c r="BK42" t="s">
        <v>129</v>
      </c>
      <c r="BL42" t="s">
        <v>143</v>
      </c>
    </row>
    <row r="43" spans="1:64" x14ac:dyDescent="0.25">
      <c r="A43" t="s">
        <v>124</v>
      </c>
      <c r="B43">
        <v>9</v>
      </c>
      <c r="C43" t="s">
        <v>357</v>
      </c>
      <c r="D43" t="s">
        <v>126</v>
      </c>
      <c r="E43" t="s">
        <v>127</v>
      </c>
      <c r="F43" t="s">
        <v>128</v>
      </c>
      <c r="G43" t="s">
        <v>129</v>
      </c>
      <c r="H43" t="s">
        <v>50</v>
      </c>
      <c r="I43" t="s">
        <v>374</v>
      </c>
      <c r="J43">
        <v>1080</v>
      </c>
      <c r="K43" t="s">
        <v>359</v>
      </c>
      <c r="L43" t="s">
        <v>131</v>
      </c>
      <c r="M43">
        <v>27663</v>
      </c>
      <c r="N43">
        <v>29876040</v>
      </c>
      <c r="O43">
        <v>0</v>
      </c>
      <c r="P43">
        <v>0</v>
      </c>
      <c r="Q43">
        <v>0.1</v>
      </c>
      <c r="R43" t="s">
        <v>129</v>
      </c>
      <c r="S43" t="s">
        <v>222</v>
      </c>
      <c r="T43" t="s">
        <v>129</v>
      </c>
      <c r="U43" t="s">
        <v>375</v>
      </c>
      <c r="V43" t="s">
        <v>129</v>
      </c>
      <c r="W43" t="s">
        <v>129</v>
      </c>
      <c r="X43">
        <v>1982.88</v>
      </c>
      <c r="Y43">
        <v>135</v>
      </c>
      <c r="Z43" t="b">
        <v>0</v>
      </c>
      <c r="AA43" t="s">
        <v>129</v>
      </c>
      <c r="AB43" t="s">
        <v>135</v>
      </c>
      <c r="AC43" t="s">
        <v>129</v>
      </c>
      <c r="AD43" t="s">
        <v>136</v>
      </c>
      <c r="AE43" t="s">
        <v>129</v>
      </c>
      <c r="AF43" t="b">
        <v>0</v>
      </c>
      <c r="AG43" t="s">
        <v>137</v>
      </c>
      <c r="AH43" t="s">
        <v>129</v>
      </c>
      <c r="AI43" t="b">
        <v>0</v>
      </c>
      <c r="AJ43" t="s">
        <v>129</v>
      </c>
      <c r="AK43" t="s">
        <v>129</v>
      </c>
      <c r="AL43" t="s">
        <v>129</v>
      </c>
      <c r="AM43">
        <v>0</v>
      </c>
      <c r="AN43" t="s">
        <v>129</v>
      </c>
      <c r="AO43" t="s">
        <v>154</v>
      </c>
      <c r="AP43" t="s">
        <v>129</v>
      </c>
      <c r="AQ43" t="s">
        <v>225</v>
      </c>
      <c r="AR43" t="s">
        <v>140</v>
      </c>
      <c r="AS43" t="s">
        <v>141</v>
      </c>
      <c r="AT43" t="s">
        <v>129</v>
      </c>
      <c r="AU43" t="s">
        <v>142</v>
      </c>
      <c r="AV43" t="s">
        <v>129</v>
      </c>
      <c r="AW43" t="s">
        <v>14</v>
      </c>
      <c r="AX43" t="s">
        <v>129</v>
      </c>
      <c r="AY43" t="s">
        <v>143</v>
      </c>
      <c r="AZ43" t="s">
        <v>143</v>
      </c>
      <c r="BA43" t="s">
        <v>361</v>
      </c>
      <c r="BB43" t="s">
        <v>362</v>
      </c>
      <c r="BC43" t="s">
        <v>146</v>
      </c>
      <c r="BD43" t="s">
        <v>147</v>
      </c>
      <c r="BE43" t="s">
        <v>148</v>
      </c>
      <c r="BF43" t="s">
        <v>149</v>
      </c>
      <c r="BG43" t="s">
        <v>150</v>
      </c>
      <c r="BH43" t="s">
        <v>151</v>
      </c>
      <c r="BI43" t="s">
        <v>152</v>
      </c>
      <c r="BJ43" t="s">
        <v>129</v>
      </c>
      <c r="BK43" t="s">
        <v>129</v>
      </c>
      <c r="BL43" t="s">
        <v>143</v>
      </c>
    </row>
    <row r="44" spans="1:64" x14ac:dyDescent="0.25">
      <c r="A44" t="s">
        <v>124</v>
      </c>
      <c r="B44">
        <v>9</v>
      </c>
      <c r="C44" t="s">
        <v>376</v>
      </c>
      <c r="D44" t="s">
        <v>126</v>
      </c>
      <c r="E44" t="s">
        <v>127</v>
      </c>
      <c r="F44" t="s">
        <v>171</v>
      </c>
      <c r="G44" t="s">
        <v>129</v>
      </c>
      <c r="H44" t="s">
        <v>57</v>
      </c>
      <c r="I44" t="s">
        <v>9</v>
      </c>
      <c r="J44">
        <v>240</v>
      </c>
      <c r="K44" t="s">
        <v>377</v>
      </c>
      <c r="L44" t="s">
        <v>131</v>
      </c>
      <c r="M44">
        <v>83719</v>
      </c>
      <c r="N44">
        <v>20092560</v>
      </c>
      <c r="O44">
        <v>0</v>
      </c>
      <c r="P44">
        <v>0</v>
      </c>
      <c r="Q44">
        <v>0.1</v>
      </c>
      <c r="R44" t="s">
        <v>132</v>
      </c>
      <c r="S44" t="s">
        <v>173</v>
      </c>
      <c r="T44" t="s">
        <v>129</v>
      </c>
      <c r="U44" t="s">
        <v>378</v>
      </c>
      <c r="V44" t="s">
        <v>129</v>
      </c>
      <c r="W44" t="s">
        <v>129</v>
      </c>
      <c r="X44">
        <v>864</v>
      </c>
      <c r="Y44">
        <v>60</v>
      </c>
      <c r="Z44" t="b">
        <v>0</v>
      </c>
      <c r="AA44" t="s">
        <v>129</v>
      </c>
      <c r="AB44" t="s">
        <v>135</v>
      </c>
      <c r="AC44" t="s">
        <v>129</v>
      </c>
      <c r="AD44" t="s">
        <v>136</v>
      </c>
      <c r="AE44" t="s">
        <v>129</v>
      </c>
      <c r="AF44" t="b">
        <v>0</v>
      </c>
      <c r="AG44" t="s">
        <v>137</v>
      </c>
      <c r="AH44" t="s">
        <v>129</v>
      </c>
      <c r="AI44" t="b">
        <v>0</v>
      </c>
      <c r="AJ44" t="s">
        <v>129</v>
      </c>
      <c r="AK44" t="s">
        <v>129</v>
      </c>
      <c r="AL44" t="s">
        <v>129</v>
      </c>
      <c r="AM44">
        <v>0</v>
      </c>
      <c r="AN44" t="s">
        <v>129</v>
      </c>
      <c r="AO44" t="s">
        <v>138</v>
      </c>
      <c r="AP44" t="s">
        <v>129</v>
      </c>
      <c r="AQ44" t="s">
        <v>176</v>
      </c>
      <c r="AR44" t="s">
        <v>140</v>
      </c>
      <c r="AS44" t="s">
        <v>141</v>
      </c>
      <c r="AT44" t="s">
        <v>129</v>
      </c>
      <c r="AU44" t="s">
        <v>142</v>
      </c>
      <c r="AV44" t="s">
        <v>129</v>
      </c>
      <c r="AW44" t="s">
        <v>16</v>
      </c>
      <c r="AX44" t="s">
        <v>129</v>
      </c>
      <c r="AY44" t="s">
        <v>143</v>
      </c>
      <c r="AZ44" t="s">
        <v>143</v>
      </c>
      <c r="BA44" t="s">
        <v>297</v>
      </c>
      <c r="BB44" t="s">
        <v>298</v>
      </c>
      <c r="BC44" t="s">
        <v>299</v>
      </c>
      <c r="BD44" t="s">
        <v>300</v>
      </c>
      <c r="BE44" t="s">
        <v>148</v>
      </c>
      <c r="BF44" t="s">
        <v>149</v>
      </c>
      <c r="BG44" t="s">
        <v>150</v>
      </c>
      <c r="BH44" t="s">
        <v>151</v>
      </c>
      <c r="BI44" t="s">
        <v>152</v>
      </c>
      <c r="BJ44" t="s">
        <v>129</v>
      </c>
      <c r="BK44" t="s">
        <v>129</v>
      </c>
      <c r="BL44" t="s">
        <v>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4"/>
  </sheetPr>
  <dimension ref="A1:S29"/>
  <sheetViews>
    <sheetView workbookViewId="0">
      <selection activeCell="J16" sqref="J16"/>
    </sheetView>
  </sheetViews>
  <sheetFormatPr defaultRowHeight="15" x14ac:dyDescent="0.25"/>
  <cols>
    <col min="1" max="1" width="12.5703125" bestFit="1" customWidth="1"/>
    <col min="2" max="2" width="17.5703125" customWidth="1"/>
    <col min="3" max="3" width="9.7109375" style="16" customWidth="1"/>
    <col min="4" max="4" width="8.85546875" style="18"/>
    <col min="9" max="9" width="12.5703125" bestFit="1" customWidth="1"/>
    <col min="10" max="10" width="14.42578125" customWidth="1"/>
    <col min="17" max="17" width="8.140625" bestFit="1" customWidth="1"/>
    <col min="19" max="19" width="10.85546875" bestFit="1" customWidth="1"/>
  </cols>
  <sheetData>
    <row r="1" spans="1:19" ht="60" x14ac:dyDescent="0.25">
      <c r="A1" s="33" t="s">
        <v>386</v>
      </c>
      <c r="B1" s="33"/>
      <c r="I1" s="33" t="s">
        <v>387</v>
      </c>
      <c r="J1" s="33"/>
      <c r="M1" s="3" t="s">
        <v>4</v>
      </c>
      <c r="N1" s="3" t="s">
        <v>1</v>
      </c>
      <c r="O1" s="3" t="s">
        <v>2</v>
      </c>
      <c r="P1" s="4" t="s">
        <v>5</v>
      </c>
      <c r="Q1" s="1" t="s">
        <v>6</v>
      </c>
      <c r="R1" s="3" t="s">
        <v>3</v>
      </c>
      <c r="S1" s="7" t="s">
        <v>25</v>
      </c>
    </row>
    <row r="2" spans="1:19" x14ac:dyDescent="0.25">
      <c r="A2" s="8" t="s">
        <v>26</v>
      </c>
      <c r="B2" t="s">
        <v>61</v>
      </c>
      <c r="C2" s="17" t="s">
        <v>388</v>
      </c>
      <c r="D2" s="19" t="s">
        <v>389</v>
      </c>
      <c r="I2" s="8" t="s">
        <v>26</v>
      </c>
      <c r="J2" t="s">
        <v>380</v>
      </c>
    </row>
    <row r="3" spans="1:19" x14ac:dyDescent="0.25">
      <c r="A3" s="9" t="s">
        <v>29</v>
      </c>
      <c r="B3">
        <v>304</v>
      </c>
      <c r="C3" s="16">
        <v>304</v>
      </c>
      <c r="D3" s="18">
        <f>_xlfn.IFNA(VLOOKUP(A3,$I:$J,2,0),"-")</f>
        <v>240</v>
      </c>
      <c r="E3">
        <f>IFERROR(C3-D3,"-")</f>
        <v>64</v>
      </c>
      <c r="I3" s="9" t="s">
        <v>250</v>
      </c>
      <c r="J3">
        <v>31.5</v>
      </c>
    </row>
    <row r="4" spans="1:19" hidden="1" x14ac:dyDescent="0.25">
      <c r="A4" s="9" t="s">
        <v>30</v>
      </c>
      <c r="B4">
        <v>210</v>
      </c>
      <c r="C4" s="16">
        <v>210</v>
      </c>
      <c r="D4" s="18">
        <f t="shared" ref="D4:D19" si="0">_xlfn.IFNA(VLOOKUP(A4,$I:$J,2,0),"-")</f>
        <v>210</v>
      </c>
      <c r="E4">
        <f t="shared" ref="E4:E19" si="1">IFERROR(C4-D4,"-")</f>
        <v>0</v>
      </c>
      <c r="I4" s="9" t="s">
        <v>30</v>
      </c>
      <c r="J4">
        <v>210</v>
      </c>
    </row>
    <row r="5" spans="1:19" x14ac:dyDescent="0.25">
      <c r="A5" s="9" t="s">
        <v>31</v>
      </c>
      <c r="B5">
        <v>480</v>
      </c>
      <c r="C5" s="16">
        <v>480</v>
      </c>
      <c r="D5" s="18" t="str">
        <f t="shared" si="0"/>
        <v>-</v>
      </c>
      <c r="E5" t="str">
        <f t="shared" si="1"/>
        <v>-</v>
      </c>
      <c r="I5" s="9" t="s">
        <v>32</v>
      </c>
      <c r="J5">
        <v>200</v>
      </c>
    </row>
    <row r="6" spans="1:19" x14ac:dyDescent="0.25">
      <c r="A6" s="9" t="s">
        <v>32</v>
      </c>
      <c r="B6">
        <v>345</v>
      </c>
      <c r="C6" s="16">
        <v>345</v>
      </c>
      <c r="D6" s="18">
        <f t="shared" si="0"/>
        <v>200</v>
      </c>
      <c r="E6">
        <f t="shared" si="1"/>
        <v>145</v>
      </c>
      <c r="I6" s="9" t="s">
        <v>54</v>
      </c>
      <c r="J6">
        <v>72</v>
      </c>
    </row>
    <row r="7" spans="1:19" hidden="1" x14ac:dyDescent="0.25">
      <c r="A7" s="9" t="s">
        <v>33</v>
      </c>
      <c r="B7">
        <v>200</v>
      </c>
      <c r="C7" s="16">
        <v>200</v>
      </c>
      <c r="D7" s="18">
        <f t="shared" si="0"/>
        <v>200</v>
      </c>
      <c r="E7">
        <f t="shared" si="1"/>
        <v>0</v>
      </c>
      <c r="I7" s="9" t="s">
        <v>56</v>
      </c>
      <c r="J7">
        <v>44</v>
      </c>
    </row>
    <row r="8" spans="1:19" x14ac:dyDescent="0.25">
      <c r="A8" s="9" t="s">
        <v>34</v>
      </c>
      <c r="B8">
        <v>200</v>
      </c>
      <c r="C8" s="16">
        <v>200</v>
      </c>
      <c r="D8" s="18" t="str">
        <f t="shared" si="0"/>
        <v>-</v>
      </c>
      <c r="E8" t="str">
        <f t="shared" si="1"/>
        <v>-</v>
      </c>
      <c r="I8" s="9" t="s">
        <v>60</v>
      </c>
      <c r="J8">
        <v>200</v>
      </c>
    </row>
    <row r="9" spans="1:19" x14ac:dyDescent="0.25">
      <c r="A9" s="9" t="s">
        <v>35</v>
      </c>
      <c r="B9">
        <v>160</v>
      </c>
      <c r="C9" s="16">
        <v>160</v>
      </c>
      <c r="D9" s="18" t="str">
        <f t="shared" si="0"/>
        <v>-</v>
      </c>
      <c r="E9" t="str">
        <f t="shared" si="1"/>
        <v>-</v>
      </c>
      <c r="I9" s="9" t="s">
        <v>55</v>
      </c>
      <c r="J9">
        <v>88</v>
      </c>
    </row>
    <row r="10" spans="1:19" hidden="1" x14ac:dyDescent="0.25">
      <c r="A10" s="9" t="s">
        <v>36</v>
      </c>
      <c r="B10">
        <v>200</v>
      </c>
      <c r="C10" s="16">
        <v>200</v>
      </c>
      <c r="D10" s="18">
        <f t="shared" si="0"/>
        <v>200</v>
      </c>
      <c r="E10">
        <f t="shared" si="1"/>
        <v>0</v>
      </c>
      <c r="I10" s="9" t="s">
        <v>59</v>
      </c>
      <c r="J10">
        <v>150</v>
      </c>
    </row>
    <row r="11" spans="1:19" hidden="1" x14ac:dyDescent="0.25">
      <c r="A11" s="9" t="s">
        <v>37</v>
      </c>
      <c r="B11">
        <v>140</v>
      </c>
      <c r="C11" s="16">
        <v>140</v>
      </c>
      <c r="D11" s="18">
        <f t="shared" si="0"/>
        <v>140</v>
      </c>
      <c r="E11">
        <f t="shared" si="1"/>
        <v>0</v>
      </c>
      <c r="I11" s="9" t="s">
        <v>36</v>
      </c>
      <c r="J11">
        <v>200</v>
      </c>
    </row>
    <row r="12" spans="1:19" x14ac:dyDescent="0.25">
      <c r="A12" s="9" t="s">
        <v>38</v>
      </c>
      <c r="B12">
        <v>30</v>
      </c>
      <c r="C12" s="16">
        <v>30</v>
      </c>
      <c r="D12" s="18" t="str">
        <f t="shared" si="0"/>
        <v>-</v>
      </c>
      <c r="E12" t="str">
        <f t="shared" si="1"/>
        <v>-</v>
      </c>
      <c r="I12" s="9" t="s">
        <v>51</v>
      </c>
      <c r="J12">
        <v>40</v>
      </c>
    </row>
    <row r="13" spans="1:19" hidden="1" x14ac:dyDescent="0.25">
      <c r="A13" s="9" t="s">
        <v>39</v>
      </c>
      <c r="B13">
        <v>80</v>
      </c>
      <c r="C13" s="16">
        <v>80</v>
      </c>
      <c r="D13" s="18">
        <f t="shared" si="0"/>
        <v>80</v>
      </c>
      <c r="E13">
        <f t="shared" si="1"/>
        <v>0</v>
      </c>
      <c r="I13" s="9" t="s">
        <v>40</v>
      </c>
      <c r="J13">
        <v>160</v>
      </c>
    </row>
    <row r="14" spans="1:19" hidden="1" x14ac:dyDescent="0.25">
      <c r="A14" s="9" t="s">
        <v>40</v>
      </c>
      <c r="B14">
        <v>160</v>
      </c>
      <c r="C14" s="16">
        <v>160</v>
      </c>
      <c r="D14" s="18">
        <f t="shared" si="0"/>
        <v>160</v>
      </c>
      <c r="E14">
        <f t="shared" si="1"/>
        <v>0</v>
      </c>
      <c r="I14" s="9" t="s">
        <v>49</v>
      </c>
      <c r="J14">
        <v>120</v>
      </c>
    </row>
    <row r="15" spans="1:19" hidden="1" x14ac:dyDescent="0.25">
      <c r="A15" s="9" t="s">
        <v>41</v>
      </c>
      <c r="B15">
        <v>30</v>
      </c>
      <c r="C15" s="16">
        <v>30</v>
      </c>
      <c r="D15" s="18">
        <f t="shared" si="0"/>
        <v>30</v>
      </c>
      <c r="E15">
        <f t="shared" si="1"/>
        <v>0</v>
      </c>
      <c r="I15" s="9" t="s">
        <v>45</v>
      </c>
      <c r="J15">
        <v>90</v>
      </c>
    </row>
    <row r="16" spans="1:19" x14ac:dyDescent="0.25">
      <c r="A16" s="9" t="s">
        <v>42</v>
      </c>
      <c r="B16">
        <v>66</v>
      </c>
      <c r="C16" s="16">
        <v>66</v>
      </c>
      <c r="D16" s="18" t="str">
        <f t="shared" si="0"/>
        <v>-</v>
      </c>
      <c r="E16" t="str">
        <f t="shared" si="1"/>
        <v>-</v>
      </c>
      <c r="I16" s="9" t="s">
        <v>33</v>
      </c>
      <c r="J16">
        <v>200</v>
      </c>
    </row>
    <row r="17" spans="1:10" hidden="1" x14ac:dyDescent="0.25">
      <c r="A17" s="9" t="s">
        <v>43</v>
      </c>
      <c r="B17">
        <v>32</v>
      </c>
      <c r="C17" s="16">
        <v>32</v>
      </c>
      <c r="D17" s="18">
        <f t="shared" si="0"/>
        <v>32</v>
      </c>
      <c r="E17">
        <f t="shared" si="1"/>
        <v>0</v>
      </c>
      <c r="I17" s="9" t="s">
        <v>44</v>
      </c>
      <c r="J17">
        <v>90</v>
      </c>
    </row>
    <row r="18" spans="1:10" hidden="1" x14ac:dyDescent="0.25">
      <c r="A18" s="9" t="s">
        <v>44</v>
      </c>
      <c r="B18">
        <v>90</v>
      </c>
      <c r="C18" s="16">
        <v>90</v>
      </c>
      <c r="D18" s="18">
        <f t="shared" si="0"/>
        <v>90</v>
      </c>
      <c r="E18">
        <f t="shared" si="1"/>
        <v>0</v>
      </c>
      <c r="I18" s="9" t="s">
        <v>48</v>
      </c>
      <c r="J18">
        <v>280</v>
      </c>
    </row>
    <row r="19" spans="1:10" hidden="1" x14ac:dyDescent="0.25">
      <c r="A19" s="9" t="s">
        <v>45</v>
      </c>
      <c r="B19">
        <v>90</v>
      </c>
      <c r="C19" s="16">
        <v>90</v>
      </c>
      <c r="D19" s="18">
        <f t="shared" si="0"/>
        <v>90</v>
      </c>
      <c r="E19">
        <f t="shared" si="1"/>
        <v>0</v>
      </c>
      <c r="I19" s="9" t="s">
        <v>52</v>
      </c>
      <c r="J19">
        <v>400</v>
      </c>
    </row>
    <row r="20" spans="1:10" hidden="1" x14ac:dyDescent="0.25">
      <c r="A20" s="9" t="s">
        <v>28</v>
      </c>
      <c r="B20">
        <v>2817</v>
      </c>
      <c r="I20" s="9" t="s">
        <v>41</v>
      </c>
      <c r="J20">
        <v>30</v>
      </c>
    </row>
    <row r="21" spans="1:10" x14ac:dyDescent="0.25">
      <c r="I21" s="9" t="s">
        <v>43</v>
      </c>
      <c r="J21">
        <v>32</v>
      </c>
    </row>
    <row r="22" spans="1:10" x14ac:dyDescent="0.25">
      <c r="I22" s="9" t="s">
        <v>29</v>
      </c>
      <c r="J22">
        <v>240</v>
      </c>
    </row>
    <row r="23" spans="1:10" x14ac:dyDescent="0.25">
      <c r="I23" s="9" t="s">
        <v>39</v>
      </c>
      <c r="J23">
        <v>80</v>
      </c>
    </row>
    <row r="24" spans="1:10" x14ac:dyDescent="0.25">
      <c r="I24" s="9" t="s">
        <v>57</v>
      </c>
      <c r="J24">
        <v>300</v>
      </c>
    </row>
    <row r="25" spans="1:10" x14ac:dyDescent="0.25">
      <c r="I25" s="9" t="s">
        <v>58</v>
      </c>
      <c r="J25">
        <v>300</v>
      </c>
    </row>
    <row r="26" spans="1:10" x14ac:dyDescent="0.25">
      <c r="I26" s="9" t="s">
        <v>53</v>
      </c>
      <c r="J26">
        <v>400</v>
      </c>
    </row>
    <row r="27" spans="1:10" x14ac:dyDescent="0.25">
      <c r="I27" s="9" t="s">
        <v>47</v>
      </c>
      <c r="J27">
        <v>200</v>
      </c>
    </row>
    <row r="28" spans="1:10" x14ac:dyDescent="0.25">
      <c r="I28" s="9" t="s">
        <v>37</v>
      </c>
      <c r="J28">
        <v>140</v>
      </c>
    </row>
    <row r="29" spans="1:10" x14ac:dyDescent="0.25">
      <c r="I29" s="9" t="s">
        <v>28</v>
      </c>
      <c r="J29">
        <v>4297.5</v>
      </c>
    </row>
  </sheetData>
  <autoFilter ref="C2:E20">
    <filterColumn colId="2">
      <filters>
        <filter val="-"/>
        <filter val="145"/>
        <filter val="64"/>
      </filters>
    </filterColumn>
  </autoFilter>
  <mergeCells count="2">
    <mergeCell ref="A1:B1"/>
    <mergeCell ref="I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3:I63"/>
  <sheetViews>
    <sheetView topLeftCell="A16" workbookViewId="0">
      <selection activeCell="C42" sqref="C42:C43"/>
    </sheetView>
  </sheetViews>
  <sheetFormatPr defaultRowHeight="15" x14ac:dyDescent="0.25"/>
  <cols>
    <col min="1" max="1" width="22" customWidth="1"/>
    <col min="2" max="2" width="15.5703125" customWidth="1"/>
    <col min="3" max="3" width="12.5703125" customWidth="1"/>
    <col min="4" max="4" width="14.42578125" customWidth="1"/>
    <col min="5" max="5" width="14.28515625" customWidth="1"/>
    <col min="6" max="7" width="9" customWidth="1"/>
    <col min="8" max="8" width="20.28515625" customWidth="1"/>
    <col min="9" max="9" width="12.28515625" customWidth="1"/>
    <col min="10" max="30" width="9" customWidth="1"/>
    <col min="31" max="31" width="7" customWidth="1"/>
    <col min="32" max="32" width="10.7109375" bestFit="1" customWidth="1"/>
  </cols>
  <sheetData>
    <row r="3" spans="1:9" x14ac:dyDescent="0.25">
      <c r="A3" s="8" t="s">
        <v>383</v>
      </c>
      <c r="C3" s="8" t="s">
        <v>384</v>
      </c>
      <c r="D3" t="s">
        <v>380</v>
      </c>
      <c r="E3" t="s">
        <v>381</v>
      </c>
      <c r="H3" s="8" t="s">
        <v>385</v>
      </c>
      <c r="I3" s="15" t="s">
        <v>382</v>
      </c>
    </row>
    <row r="4" spans="1:9" x14ac:dyDescent="0.25">
      <c r="A4" s="9">
        <v>1</v>
      </c>
      <c r="C4" s="9">
        <v>1</v>
      </c>
      <c r="H4" s="9" t="s">
        <v>10</v>
      </c>
      <c r="I4">
        <f>COUNTIF(A:A,H4)</f>
        <v>1</v>
      </c>
    </row>
    <row r="5" spans="1:9" x14ac:dyDescent="0.25">
      <c r="A5" s="13" t="s">
        <v>13</v>
      </c>
      <c r="C5" s="13" t="s">
        <v>40</v>
      </c>
      <c r="D5">
        <v>160</v>
      </c>
      <c r="E5">
        <v>640</v>
      </c>
      <c r="H5" s="9" t="s">
        <v>11</v>
      </c>
      <c r="I5">
        <f t="shared" ref="I5:I9" si="0">COUNTIF(A:A,H5)</f>
        <v>1</v>
      </c>
    </row>
    <row r="6" spans="1:9" x14ac:dyDescent="0.25">
      <c r="A6" s="14" t="s">
        <v>125</v>
      </c>
      <c r="C6" s="13" t="s">
        <v>33</v>
      </c>
      <c r="D6">
        <v>200</v>
      </c>
      <c r="E6">
        <v>800</v>
      </c>
      <c r="H6" s="9" t="s">
        <v>12</v>
      </c>
      <c r="I6">
        <f t="shared" si="0"/>
        <v>1</v>
      </c>
    </row>
    <row r="7" spans="1:9" x14ac:dyDescent="0.25">
      <c r="A7" s="14" t="s">
        <v>163</v>
      </c>
      <c r="C7" s="13" t="s">
        <v>37</v>
      </c>
      <c r="D7">
        <v>80</v>
      </c>
      <c r="E7">
        <v>640</v>
      </c>
      <c r="H7" s="9" t="s">
        <v>14</v>
      </c>
      <c r="I7">
        <f t="shared" si="0"/>
        <v>3</v>
      </c>
    </row>
    <row r="8" spans="1:9" x14ac:dyDescent="0.25">
      <c r="A8" s="9">
        <v>2</v>
      </c>
      <c r="C8" s="9">
        <v>2</v>
      </c>
      <c r="H8" s="9" t="s">
        <v>13</v>
      </c>
      <c r="I8">
        <f t="shared" si="0"/>
        <v>6</v>
      </c>
    </row>
    <row r="9" spans="1:9" x14ac:dyDescent="0.25">
      <c r="A9" s="13" t="s">
        <v>16</v>
      </c>
      <c r="C9" s="13" t="s">
        <v>60</v>
      </c>
      <c r="D9">
        <v>150</v>
      </c>
      <c r="E9">
        <v>600</v>
      </c>
      <c r="H9" s="9" t="s">
        <v>16</v>
      </c>
      <c r="I9">
        <f t="shared" si="0"/>
        <v>6</v>
      </c>
    </row>
    <row r="10" spans="1:9" x14ac:dyDescent="0.25">
      <c r="A10" s="14" t="s">
        <v>170</v>
      </c>
      <c r="C10" s="13" t="s">
        <v>52</v>
      </c>
      <c r="D10">
        <v>400</v>
      </c>
      <c r="E10">
        <v>1600</v>
      </c>
      <c r="H10" s="9" t="s">
        <v>27</v>
      </c>
    </row>
    <row r="11" spans="1:9" x14ac:dyDescent="0.25">
      <c r="A11" s="9">
        <v>3</v>
      </c>
      <c r="C11" s="9">
        <v>3</v>
      </c>
      <c r="H11" s="9" t="s">
        <v>28</v>
      </c>
    </row>
    <row r="12" spans="1:9" x14ac:dyDescent="0.25">
      <c r="A12" s="13" t="s">
        <v>13</v>
      </c>
      <c r="C12" s="13" t="s">
        <v>60</v>
      </c>
      <c r="D12">
        <v>50</v>
      </c>
      <c r="E12">
        <v>200</v>
      </c>
    </row>
    <row r="13" spans="1:9" x14ac:dyDescent="0.25">
      <c r="A13" s="14" t="s">
        <v>195</v>
      </c>
      <c r="C13" s="13" t="s">
        <v>53</v>
      </c>
      <c r="D13">
        <v>400</v>
      </c>
      <c r="E13">
        <v>1600</v>
      </c>
    </row>
    <row r="14" spans="1:9" x14ac:dyDescent="0.25">
      <c r="A14" s="14" t="s">
        <v>198</v>
      </c>
      <c r="C14" s="13" t="s">
        <v>37</v>
      </c>
      <c r="D14">
        <v>60</v>
      </c>
      <c r="E14">
        <v>480</v>
      </c>
    </row>
    <row r="15" spans="1:9" x14ac:dyDescent="0.25">
      <c r="A15" s="13" t="s">
        <v>16</v>
      </c>
      <c r="C15" s="9">
        <v>4</v>
      </c>
    </row>
    <row r="16" spans="1:9" x14ac:dyDescent="0.25">
      <c r="A16" s="14" t="s">
        <v>187</v>
      </c>
      <c r="C16" s="13" t="s">
        <v>51</v>
      </c>
      <c r="D16">
        <v>40</v>
      </c>
      <c r="E16">
        <v>480</v>
      </c>
    </row>
    <row r="17" spans="1:5" x14ac:dyDescent="0.25">
      <c r="A17" s="9">
        <v>4</v>
      </c>
      <c r="C17" s="13" t="s">
        <v>49</v>
      </c>
      <c r="D17">
        <v>120</v>
      </c>
      <c r="E17">
        <v>1440</v>
      </c>
    </row>
    <row r="18" spans="1:5" x14ac:dyDescent="0.25">
      <c r="A18" s="13" t="s">
        <v>11</v>
      </c>
      <c r="C18" s="13" t="s">
        <v>29</v>
      </c>
      <c r="D18">
        <v>240</v>
      </c>
      <c r="E18">
        <v>1920</v>
      </c>
    </row>
    <row r="19" spans="1:5" x14ac:dyDescent="0.25">
      <c r="A19" s="14" t="s">
        <v>204</v>
      </c>
      <c r="C19" s="9">
        <v>5</v>
      </c>
    </row>
    <row r="20" spans="1:5" x14ac:dyDescent="0.25">
      <c r="A20" s="14" t="s">
        <v>215</v>
      </c>
      <c r="C20" s="13" t="s">
        <v>250</v>
      </c>
      <c r="D20">
        <v>31.5</v>
      </c>
      <c r="E20">
        <v>630</v>
      </c>
    </row>
    <row r="21" spans="1:5" x14ac:dyDescent="0.25">
      <c r="A21" s="13" t="s">
        <v>14</v>
      </c>
      <c r="C21" s="13" t="s">
        <v>30</v>
      </c>
      <c r="D21">
        <v>210</v>
      </c>
      <c r="E21">
        <v>630</v>
      </c>
    </row>
    <row r="22" spans="1:5" x14ac:dyDescent="0.25">
      <c r="A22" s="14" t="s">
        <v>218</v>
      </c>
      <c r="C22" s="13" t="s">
        <v>32</v>
      </c>
      <c r="D22">
        <v>200</v>
      </c>
      <c r="E22">
        <v>600</v>
      </c>
    </row>
    <row r="23" spans="1:5" x14ac:dyDescent="0.25">
      <c r="A23" s="13" t="s">
        <v>13</v>
      </c>
      <c r="C23" s="13" t="s">
        <v>39</v>
      </c>
      <c r="D23">
        <v>80</v>
      </c>
      <c r="E23">
        <v>320</v>
      </c>
    </row>
    <row r="24" spans="1:5" x14ac:dyDescent="0.25">
      <c r="A24" s="14" t="s">
        <v>230</v>
      </c>
      <c r="C24" s="9">
        <v>6</v>
      </c>
    </row>
    <row r="25" spans="1:5" x14ac:dyDescent="0.25">
      <c r="A25" s="14" t="s">
        <v>234</v>
      </c>
      <c r="C25" s="13" t="s">
        <v>56</v>
      </c>
      <c r="D25">
        <v>44</v>
      </c>
      <c r="E25">
        <v>528</v>
      </c>
    </row>
    <row r="26" spans="1:5" x14ac:dyDescent="0.25">
      <c r="A26" s="9">
        <v>5</v>
      </c>
      <c r="C26" s="13" t="s">
        <v>59</v>
      </c>
      <c r="D26">
        <v>150</v>
      </c>
      <c r="E26">
        <v>600</v>
      </c>
    </row>
    <row r="27" spans="1:5" x14ac:dyDescent="0.25">
      <c r="A27" s="13" t="s">
        <v>10</v>
      </c>
      <c r="C27" s="13" t="s">
        <v>36</v>
      </c>
      <c r="D27">
        <v>200</v>
      </c>
      <c r="E27">
        <v>800</v>
      </c>
    </row>
    <row r="28" spans="1:5" x14ac:dyDescent="0.25">
      <c r="A28" s="14" t="s">
        <v>269</v>
      </c>
      <c r="C28" s="13" t="s">
        <v>57</v>
      </c>
      <c r="D28">
        <v>90</v>
      </c>
      <c r="E28">
        <v>360</v>
      </c>
    </row>
    <row r="29" spans="1:5" x14ac:dyDescent="0.25">
      <c r="A29" s="13" t="s">
        <v>12</v>
      </c>
      <c r="C29" s="9">
        <v>7</v>
      </c>
    </row>
    <row r="30" spans="1:5" x14ac:dyDescent="0.25">
      <c r="A30" s="14" t="s">
        <v>237</v>
      </c>
      <c r="C30" s="13" t="s">
        <v>55</v>
      </c>
      <c r="D30">
        <v>88</v>
      </c>
      <c r="E30">
        <v>1056</v>
      </c>
    </row>
    <row r="31" spans="1:5" x14ac:dyDescent="0.25">
      <c r="A31" s="14" t="s">
        <v>248</v>
      </c>
      <c r="C31" s="13" t="s">
        <v>48</v>
      </c>
      <c r="D31">
        <v>280</v>
      </c>
      <c r="E31">
        <v>3360</v>
      </c>
    </row>
    <row r="32" spans="1:5" x14ac:dyDescent="0.25">
      <c r="A32" s="13" t="s">
        <v>13</v>
      </c>
      <c r="C32" s="13" t="s">
        <v>41</v>
      </c>
      <c r="D32">
        <v>30</v>
      </c>
      <c r="E32">
        <v>120</v>
      </c>
    </row>
    <row r="33" spans="1:5" x14ac:dyDescent="0.25">
      <c r="A33" s="14" t="s">
        <v>259</v>
      </c>
      <c r="C33" s="13" t="s">
        <v>43</v>
      </c>
      <c r="D33">
        <v>32</v>
      </c>
      <c r="E33">
        <v>128</v>
      </c>
    </row>
    <row r="34" spans="1:5" x14ac:dyDescent="0.25">
      <c r="A34" s="14" t="s">
        <v>266</v>
      </c>
      <c r="C34" s="13" t="s">
        <v>47</v>
      </c>
      <c r="D34">
        <v>200</v>
      </c>
      <c r="E34">
        <v>2400</v>
      </c>
    </row>
    <row r="35" spans="1:5" x14ac:dyDescent="0.25">
      <c r="A35" s="9">
        <v>6</v>
      </c>
      <c r="C35" s="9">
        <v>8</v>
      </c>
    </row>
    <row r="36" spans="1:5" x14ac:dyDescent="0.25">
      <c r="A36" s="13" t="s">
        <v>13</v>
      </c>
      <c r="C36" s="13" t="s">
        <v>57</v>
      </c>
      <c r="D36">
        <v>150</v>
      </c>
      <c r="E36">
        <v>600</v>
      </c>
    </row>
    <row r="37" spans="1:5" x14ac:dyDescent="0.25">
      <c r="A37" s="14" t="s">
        <v>280</v>
      </c>
      <c r="C37" s="13" t="s">
        <v>58</v>
      </c>
      <c r="D37">
        <v>300</v>
      </c>
      <c r="E37">
        <v>1200</v>
      </c>
    </row>
    <row r="38" spans="1:5" x14ac:dyDescent="0.25">
      <c r="A38" s="14" t="s">
        <v>286</v>
      </c>
      <c r="C38" s="9">
        <v>9</v>
      </c>
    </row>
    <row r="39" spans="1:5" x14ac:dyDescent="0.25">
      <c r="A39" s="13" t="s">
        <v>16</v>
      </c>
      <c r="C39" s="13" t="s">
        <v>54</v>
      </c>
      <c r="D39">
        <v>72</v>
      </c>
      <c r="E39">
        <v>864</v>
      </c>
    </row>
    <row r="40" spans="1:5" x14ac:dyDescent="0.25">
      <c r="A40" s="14" t="s">
        <v>289</v>
      </c>
      <c r="C40" s="13" t="s">
        <v>45</v>
      </c>
      <c r="D40">
        <v>90</v>
      </c>
      <c r="E40">
        <v>720</v>
      </c>
    </row>
    <row r="41" spans="1:5" x14ac:dyDescent="0.25">
      <c r="A41" s="9">
        <v>7</v>
      </c>
      <c r="C41" s="13" t="s">
        <v>44</v>
      </c>
      <c r="D41">
        <v>90</v>
      </c>
      <c r="E41">
        <v>720</v>
      </c>
    </row>
    <row r="42" spans="1:5" x14ac:dyDescent="0.25">
      <c r="A42" s="13" t="s">
        <v>14</v>
      </c>
      <c r="C42" s="13" t="s">
        <v>57</v>
      </c>
      <c r="D42">
        <v>60</v>
      </c>
      <c r="E42">
        <v>240</v>
      </c>
    </row>
    <row r="43" spans="1:5" x14ac:dyDescent="0.25">
      <c r="A43" s="14" t="s">
        <v>324</v>
      </c>
      <c r="C43" s="13" t="s">
        <v>46</v>
      </c>
      <c r="D43">
        <v>72</v>
      </c>
      <c r="E43">
        <v>1728</v>
      </c>
    </row>
    <row r="44" spans="1:5" x14ac:dyDescent="0.25">
      <c r="A44" s="13" t="s">
        <v>13</v>
      </c>
      <c r="C44" s="13" t="s">
        <v>50</v>
      </c>
      <c r="D44">
        <v>135</v>
      </c>
      <c r="E44">
        <v>1080</v>
      </c>
    </row>
    <row r="45" spans="1:5" x14ac:dyDescent="0.25">
      <c r="A45" s="14" t="s">
        <v>310</v>
      </c>
      <c r="C45" s="9" t="s">
        <v>27</v>
      </c>
    </row>
    <row r="46" spans="1:5" x14ac:dyDescent="0.25">
      <c r="A46" s="14" t="s">
        <v>313</v>
      </c>
      <c r="C46" s="13" t="s">
        <v>27</v>
      </c>
    </row>
    <row r="47" spans="1:5" x14ac:dyDescent="0.25">
      <c r="A47" s="14" t="s">
        <v>321</v>
      </c>
      <c r="C47" s="9" t="s">
        <v>28</v>
      </c>
      <c r="D47">
        <v>4504.5</v>
      </c>
      <c r="E47">
        <v>29084</v>
      </c>
    </row>
    <row r="48" spans="1:5" x14ac:dyDescent="0.25">
      <c r="A48" s="14" t="s">
        <v>306</v>
      </c>
    </row>
    <row r="49" spans="1:1" x14ac:dyDescent="0.25">
      <c r="A49" s="13" t="s">
        <v>16</v>
      </c>
    </row>
    <row r="50" spans="1:1" x14ac:dyDescent="0.25">
      <c r="A50" s="14" t="s">
        <v>333</v>
      </c>
    </row>
    <row r="51" spans="1:1" x14ac:dyDescent="0.25">
      <c r="A51" s="9">
        <v>8</v>
      </c>
    </row>
    <row r="52" spans="1:1" x14ac:dyDescent="0.25">
      <c r="A52" s="13" t="s">
        <v>16</v>
      </c>
    </row>
    <row r="53" spans="1:1" x14ac:dyDescent="0.25">
      <c r="A53" s="14" t="s">
        <v>340</v>
      </c>
    </row>
    <row r="54" spans="1:1" x14ac:dyDescent="0.25">
      <c r="A54" s="9">
        <v>9</v>
      </c>
    </row>
    <row r="55" spans="1:1" x14ac:dyDescent="0.25">
      <c r="A55" s="13" t="s">
        <v>14</v>
      </c>
    </row>
    <row r="56" spans="1:1" x14ac:dyDescent="0.25">
      <c r="A56" s="14" t="s">
        <v>357</v>
      </c>
    </row>
    <row r="57" spans="1:1" x14ac:dyDescent="0.25">
      <c r="A57" s="13" t="s">
        <v>16</v>
      </c>
    </row>
    <row r="58" spans="1:1" x14ac:dyDescent="0.25">
      <c r="A58" s="14" t="s">
        <v>349</v>
      </c>
    </row>
    <row r="59" spans="1:1" x14ac:dyDescent="0.25">
      <c r="A59" s="14" t="s">
        <v>376</v>
      </c>
    </row>
    <row r="60" spans="1:1" x14ac:dyDescent="0.25">
      <c r="A60" s="9" t="s">
        <v>27</v>
      </c>
    </row>
    <row r="61" spans="1:1" x14ac:dyDescent="0.25">
      <c r="A61" s="13" t="s">
        <v>27</v>
      </c>
    </row>
    <row r="62" spans="1:1" x14ac:dyDescent="0.25">
      <c r="A62" s="14" t="s">
        <v>27</v>
      </c>
    </row>
    <row r="63" spans="1:1" x14ac:dyDescent="0.25">
      <c r="A63" s="9" t="s">
        <v>28</v>
      </c>
    </row>
  </sheetData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805</vt:lpstr>
      <vt:lpstr>8051</vt:lpstr>
      <vt:lpstr>XUẤT HÓA ĐƠN</vt:lpstr>
      <vt:lpstr>SL CẦN GIAO</vt:lpstr>
      <vt:lpstr>Sl 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Trọng Phúc</dc:creator>
  <cp:lastModifiedBy>trong</cp:lastModifiedBy>
  <cp:lastPrinted>2023-01-16T09:22:48Z</cp:lastPrinted>
  <dcterms:created xsi:type="dcterms:W3CDTF">2022-07-20T02:34:35Z</dcterms:created>
  <dcterms:modified xsi:type="dcterms:W3CDTF">2023-03-28T09:34:35Z</dcterms:modified>
</cp:coreProperties>
</file>