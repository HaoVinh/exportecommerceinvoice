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930" yWindow="0" windowWidth="21840" windowHeight="8085"/>
  </bookViews>
  <sheets>
    <sheet name="Data" sheetId="1" r:id="rId1"/>
    <sheet name="Tên SP" sheetId="2" r:id="rId2"/>
  </sheets>
  <definedNames>
    <definedName name="_xlnm._FilterDatabase" localSheetId="0" hidden="1">Data!$A$1:$J$1937</definedName>
  </definedName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<sst xmlns="http://schemas.openxmlformats.org/spreadsheetml/2006/main" count="6036" uniqueCount="2753">
  <si>
    <t xml:space="preserve">Mã đơn hàng </t>
  </si>
  <si>
    <t>Mã sp</t>
  </si>
  <si>
    <t xml:space="preserve">Tên sp </t>
  </si>
  <si>
    <t xml:space="preserve">Đơn giá </t>
  </si>
  <si>
    <t xml:space="preserve">SL </t>
  </si>
  <si>
    <t>Thành tiền</t>
  </si>
  <si>
    <t xml:space="preserve">Chiết Khấu </t>
  </si>
  <si>
    <t>31 Aug 2022 09:10</t>
  </si>
  <si>
    <t>366841219044244</t>
  </si>
  <si>
    <t>NG350</t>
  </si>
  <si>
    <t>31 Aug 2022 08:09</t>
  </si>
  <si>
    <t>366846002115982</t>
  </si>
  <si>
    <t>31 Aug 2022 07:36</t>
  </si>
  <si>
    <t>366792495298127</t>
  </si>
  <si>
    <t>31 Aug 2022 06:39</t>
  </si>
  <si>
    <t>368518399139699</t>
  </si>
  <si>
    <t>31 Aug 2022 05:48</t>
  </si>
  <si>
    <t>366766090185939</t>
  </si>
  <si>
    <t>30 Aug 2022 23:53</t>
  </si>
  <si>
    <t>366802857451119</t>
  </si>
  <si>
    <t>30 Aug 2022 22:16</t>
  </si>
  <si>
    <t>366812247102495</t>
  </si>
  <si>
    <t>JL100</t>
  </si>
  <si>
    <t>LSF36</t>
  </si>
  <si>
    <t>30 Aug 2022 21:39</t>
  </si>
  <si>
    <t>368519348435086</t>
  </si>
  <si>
    <t>30 Aug 2022 19:50</t>
  </si>
  <si>
    <t>368551513561434</t>
  </si>
  <si>
    <t>LSH36</t>
  </si>
  <si>
    <t>EB010</t>
  </si>
  <si>
    <t>BỘT GIẶT LIXE 9KG/02</t>
  </si>
  <si>
    <t>EB550</t>
  </si>
  <si>
    <t>EB568</t>
  </si>
  <si>
    <t>BỘT GIẶT LIXE 5,5KG/03</t>
  </si>
  <si>
    <t>EB247</t>
  </si>
  <si>
    <t>BỘT GIẶT LIXE 2,4KG/05</t>
  </si>
  <si>
    <t>EH070</t>
  </si>
  <si>
    <t>BỘT GIẶT LIXE HƯƠNG NƯỚC HOA 7KG/02</t>
  </si>
  <si>
    <t>EH055</t>
  </si>
  <si>
    <t>EH554</t>
  </si>
  <si>
    <t>BỘT GIẶT LIXE HƯƠNG NƯỚC HOA 5,5KG/03</t>
  </si>
  <si>
    <t>EH025</t>
  </si>
  <si>
    <t>EH030</t>
  </si>
  <si>
    <t>BỘT GIẶT LIXE HƯƠNG NƯỚC HOA 2,4KG/05</t>
  </si>
  <si>
    <t>EC550</t>
  </si>
  <si>
    <t>EC563</t>
  </si>
  <si>
    <t>BỘT GIẶT LIXE CHANH 5,5KG/03</t>
  </si>
  <si>
    <t>EC258</t>
  </si>
  <si>
    <t>BỘT GIẶT LIXE CHANH 2,4KG/05</t>
  </si>
  <si>
    <t>EC055</t>
  </si>
  <si>
    <t>BỘT GIẶT LIXE CHANH 550G/20</t>
  </si>
  <si>
    <t>ED550</t>
  </si>
  <si>
    <t>ED557</t>
  </si>
  <si>
    <t>BỘT GIẶT LIX ĐẬM ĐẶC 5,5KG/03</t>
  </si>
  <si>
    <t>ED002</t>
  </si>
  <si>
    <t>BỘT GIẶT LIX ĐẬM ĐẶC 800G/12</t>
  </si>
  <si>
    <t>ED001</t>
  </si>
  <si>
    <t>BỘT GIẶT LIX ĐẬM ĐẶC 400G/24</t>
  </si>
  <si>
    <t>EM558</t>
  </si>
  <si>
    <t>BỘT GIẶT LIX DD CHỐNG LEM MÀU 5,5KG/03</t>
  </si>
  <si>
    <t>EM800</t>
  </si>
  <si>
    <t>BỘT GIẶT LIX DD CHỐNG LEM MÀU 800G/12</t>
  </si>
  <si>
    <t>EM400</t>
  </si>
  <si>
    <t>BỘT GIẶT LIX DD CHỐNG LEM MÀU 400G/24</t>
  </si>
  <si>
    <t>PD001</t>
  </si>
  <si>
    <t>PD575</t>
  </si>
  <si>
    <t>BỘT GIẶT LIX DD HƯƠNG NƯỚC HOA 5,5KG/03</t>
  </si>
  <si>
    <t>PD014</t>
  </si>
  <si>
    <t>BỘT GIẶT LIX DD HƯƠNG NƯỚC HOA 800G/12</t>
  </si>
  <si>
    <t>PD013</t>
  </si>
  <si>
    <t>BỘT GIẶT LIX DD HƯƠNG NƯỚC HOA 400G/24</t>
  </si>
  <si>
    <t>N4301</t>
  </si>
  <si>
    <t>NƯỚC RỬA CHÉN SIÊU SẠCH CHANH 3,5KG/T04- TÚI</t>
  </si>
  <si>
    <t>N4302</t>
  </si>
  <si>
    <t>NƯỚC RỬA CHÉN SIÊU SẠCH CHANH 1,5KG/T08- TÚI</t>
  </si>
  <si>
    <t>NS360</t>
  </si>
  <si>
    <t>NƯỚC RỬA CHÉN SIÊU SẠCH CHANH 3,6KG/C04</t>
  </si>
  <si>
    <t>NS140</t>
  </si>
  <si>
    <t>NƯỚC RỬA CHÉN SIÊU SẠCH CHANH 1,4KG/C08</t>
  </si>
  <si>
    <t>NS750</t>
  </si>
  <si>
    <t>NƯỚC RỬA CHÉN SIÊU SẠCH CHANH 750G/CH12</t>
  </si>
  <si>
    <t>N8101</t>
  </si>
  <si>
    <t>NƯỚC RỬA CHÉN SIÊU SẠCH TRÀ 3,5KG/T04- TÚI</t>
  </si>
  <si>
    <t>N8102</t>
  </si>
  <si>
    <t>NƯỚC RỬA CHÉN SIÊU SẠCH TRÀ 1,5KG/T08- TÚI</t>
  </si>
  <si>
    <t>N8105</t>
  </si>
  <si>
    <t>NƯỚC RỬA CHÉN SIÊU SẠCH TRÀ 3,6KG/C04</t>
  </si>
  <si>
    <t>N8106</t>
  </si>
  <si>
    <t>NƯỚC RỬA CHÉN SIÊU SẠCH TRÀ 1,4KG/C04</t>
  </si>
  <si>
    <t>N8108</t>
  </si>
  <si>
    <t>NƯỚC RỬA CHÉN SIÊU SẠCH TRÀ 750G/CH12</t>
  </si>
  <si>
    <t>LH360</t>
  </si>
  <si>
    <t>LL360</t>
  </si>
  <si>
    <t>LD360</t>
  </si>
  <si>
    <t>NLS2</t>
  </si>
  <si>
    <t>LD115</t>
  </si>
  <si>
    <t>NƯỚC LAU SÀN LIX ĐUỐI CÔN TRÙNG 1L/CH12</t>
  </si>
  <si>
    <t>NG360</t>
  </si>
  <si>
    <t>NƯỚC GIẶT LIX ĐẬM ĐẶC 3,6KG/C04</t>
  </si>
  <si>
    <t>NƯỚC GIẶT LIX ĐẬM ĐẶC 3,5KG/T04 TÚI</t>
  </si>
  <si>
    <t>NGH10</t>
  </si>
  <si>
    <t>NƯỚC GIẶT LIX HƯƠNG NƯỚC HOA 3,6KG/C04</t>
  </si>
  <si>
    <t>NGH07</t>
  </si>
  <si>
    <t>NƯỚC GIẶT LIX HƯƠNG NƯỚC HOA 3,5KG/T04 TÚI</t>
  </si>
  <si>
    <t>NG201</t>
  </si>
  <si>
    <t>NƯỚC GIẶT LIX ĐẬM ĐẶC 2KG/C06</t>
  </si>
  <si>
    <t>N2502</t>
  </si>
  <si>
    <t>NƯỚC GIẶT LIX SIÊU SẠCH HOA ANH ĐÀO 2.4KG/T06</t>
  </si>
  <si>
    <t>N2501</t>
  </si>
  <si>
    <t>NƯỚC GIẶT LIX SIÊU SẠCH HOA ANH ĐÀO 3.5KG/C04</t>
  </si>
  <si>
    <t>NƯỚC XẢ VẢI LIXSOFT 3,6L/C04</t>
  </si>
  <si>
    <t>NƯỚC XẢ VẢI LIXSOFT HƯƠNG HOA HỒNG 3,6L/C04</t>
  </si>
  <si>
    <t>NƯỚC TẨY JAVEL LIX 1KG/CH12</t>
  </si>
  <si>
    <t>N5008</t>
  </si>
  <si>
    <t>N5ON1</t>
  </si>
  <si>
    <t>NƯỚC RỬA CHÉN ON1 KIWI-ALOEVERA 3,8KG/C04</t>
  </si>
  <si>
    <t>N5007</t>
  </si>
  <si>
    <t>N4ON1</t>
  </si>
  <si>
    <t>NƯỚC RỬA CHÉN ON1 KIWI-ALOEVERA 1,5KG/C08</t>
  </si>
  <si>
    <t>N3ON1</t>
  </si>
  <si>
    <t>N5009</t>
  </si>
  <si>
    <t>NƯỚC RỬA CHÉN ON1 KIWI-ALOEVERA 750G/CH12</t>
  </si>
  <si>
    <t>N5203</t>
  </si>
  <si>
    <t>C5ON1</t>
  </si>
  <si>
    <t>NƯỚC RỬA CHÉN ON1 CHANH SẢ 3,8KG/C04</t>
  </si>
  <si>
    <t>N5202</t>
  </si>
  <si>
    <t>C4ON1</t>
  </si>
  <si>
    <t>NƯỚC RỬA CHÉN ON1 CHANH SẢ 1,5KG/C08</t>
  </si>
  <si>
    <t>C3ON1</t>
  </si>
  <si>
    <t>N5204</t>
  </si>
  <si>
    <t>NƯỚC RỬA CHÉN ON1 CHANH SẢ 750G/CH12</t>
  </si>
  <si>
    <t>N5103</t>
  </si>
  <si>
    <t>M5ON1</t>
  </si>
  <si>
    <t>NƯỚC RỬA CHÉN ON1 TRÀ XANH MUỐI HỒNG 3,8KG/C04</t>
  </si>
  <si>
    <t>N5102</t>
  </si>
  <si>
    <t>M4ON1</t>
  </si>
  <si>
    <t>NƯỚC RỬA CHÉN ON1 TRÀ XANH MUỐI HỒNG 1,5KG/C08</t>
  </si>
  <si>
    <t>M3ON1</t>
  </si>
  <si>
    <t>N5104</t>
  </si>
  <si>
    <t>NƯỚC RỬA CHÉN ON1 TRÀ XANH MUỐI HỒNG 750G/CH12</t>
  </si>
  <si>
    <t>N5603</t>
  </si>
  <si>
    <t>NƯỚC RỬA CHÉN ON1 TINH DẦU GỪNG CAM 1KG/CH12</t>
  </si>
  <si>
    <t>N5602</t>
  </si>
  <si>
    <t>NƯỚC RỬA CHÉN ON1 TINH DẦU GỪNG CAM 500G/CH20</t>
  </si>
  <si>
    <t>N5503</t>
  </si>
  <si>
    <t>NƯỚC RỬA CHÉN ON1 TINH DẦU GỪNG SẢ 1KG/CH12</t>
  </si>
  <si>
    <t>N5502</t>
  </si>
  <si>
    <t>NƯỚC RỬA CHÉN ON1 TINH DẦU GỪNG SẢ 500G/CH20</t>
  </si>
  <si>
    <t>N6402</t>
  </si>
  <si>
    <t>NƯỚC GIẶT ON1 CHỐNG LEM MÀU FRESH SAKURA 3,6KG/C04</t>
  </si>
  <si>
    <t>N6401</t>
  </si>
  <si>
    <t>NƯỚC GIẶT ON1 CHỐNG LEM MÀU FRESH SAKURA 2,6KG/C04</t>
  </si>
  <si>
    <t>N6403</t>
  </si>
  <si>
    <t>NƯỚC GIẶT ON1 CHỐNG LEM MÀU FRESH SAKURA 3,5KG/T04 (TÚI)</t>
  </si>
  <si>
    <t>N6902</t>
  </si>
  <si>
    <t>NƯỚC GIẶT XẢ ON1 BAMBOO CHARCOAL 3,6KG/C04</t>
  </si>
  <si>
    <t>N6901</t>
  </si>
  <si>
    <t>NƯỚC GIẶT XẢ ON1 BAMBOO CHARCOAL 2,6KG/C04</t>
  </si>
  <si>
    <t>N6903</t>
  </si>
  <si>
    <t>NƯỚC GIẶT XẢ ON1 BAMBOO CHARCOAL 3,5KG/T04 (TÚI)</t>
  </si>
  <si>
    <t>N7002</t>
  </si>
  <si>
    <t>NƯỚC GIẶT XẢ MATIC ON1 GARDEN OF FAME 3,6KG/C04</t>
  </si>
  <si>
    <t>N7001</t>
  </si>
  <si>
    <t>NƯỚC GIẶT XẢ MATIC ON1 GARDEN OF FAME 2,6KG/C04</t>
  </si>
  <si>
    <t>N7003</t>
  </si>
  <si>
    <t>NƯỚC GIẶT XẢ MATIC ON1 GARDEN OF FAME 3,5KG/T04 (TÚI)</t>
  </si>
  <si>
    <t>N7501</t>
  </si>
  <si>
    <t xml:space="preserve">NƯỚC TẨY QUẦN ÁO MÀU ON1 PURPLE FRESHNES 800G/CH12 </t>
  </si>
  <si>
    <t>N7601</t>
  </si>
  <si>
    <t xml:space="preserve">NƯỚC TẨY QUẦN ÁO MÀU ON1 TROPICAL BLOSSOM 800G/CH12 </t>
  </si>
  <si>
    <t>LC301</t>
  </si>
  <si>
    <t>NƯỚC LAU SÀN ON1 TINH DẦU SẢ 3,6L/C04</t>
  </si>
  <si>
    <t>LC202</t>
  </si>
  <si>
    <t>NƯỚC LAU SÀN ON1 TINH DẦU SẢ 2,6L/C06</t>
  </si>
  <si>
    <t>LH301</t>
  </si>
  <si>
    <t>NƯỚC LAU SÀN ON1 TINH DẦU ĐINH HƯƠNG &amp; HOẮC HƯƠNG 3,6L/C04</t>
  </si>
  <si>
    <t>LH202</t>
  </si>
  <si>
    <t>NƯỚC LAU SÀN ON1 TINH DẦU ĐINH HƯƠNG &amp; HOẮC HƯƠNG 2,6L/C06</t>
  </si>
  <si>
    <t>RT506</t>
  </si>
  <si>
    <t>NƯỚC RỬA TAY ON1 SAKURA 500ML/CH20</t>
  </si>
  <si>
    <t>RT507</t>
  </si>
  <si>
    <t>NƯỚC RỬA TAY ON1 BAMBOO CHARCOAL 500ML/CH20</t>
  </si>
  <si>
    <t>C0102</t>
  </si>
  <si>
    <t>GEL DIỆT KHUẨN TAY ON1 250ML/CH48</t>
  </si>
  <si>
    <t>C0101</t>
  </si>
  <si>
    <t>GEL DIỆT KHUẨN TAY ON1 60ML/CH80</t>
  </si>
  <si>
    <t>C0201</t>
  </si>
  <si>
    <t>DUNG DỊCH SÁT KHUẨN TAY NHANH ON1 100ML/CH48</t>
  </si>
  <si>
    <t>C0202</t>
  </si>
  <si>
    <t>DUNG DỊCH SÁT KHUẨN TAY NHANH ON1 500ML/CH20</t>
  </si>
  <si>
    <t>C0203</t>
  </si>
  <si>
    <t>DUNG DỊCH SÁT KHUẨN TAY NHANH ON1 250ML/CH48</t>
  </si>
  <si>
    <t>N0502</t>
  </si>
  <si>
    <t>GEL TẨY BỒN CẦU &amp; NHÀ TẮM ON1 900G/CH12</t>
  </si>
  <si>
    <t>N0501</t>
  </si>
  <si>
    <t>GEL TẨY BỒN CẦU &amp; NHÀ TẮM ON1 500G/CH24</t>
  </si>
  <si>
    <t>N6601</t>
  </si>
  <si>
    <t>NƯỚC LAU KÍNH ON1 500ML/CH20</t>
  </si>
  <si>
    <t>N6701</t>
  </si>
  <si>
    <t>NƯỚC LAU BẾP ON1 500ML/CH20</t>
  </si>
  <si>
    <t>N6801</t>
  </si>
  <si>
    <t>NƯỚC ỦI QUẦN ÁO 500ML/CH20</t>
  </si>
  <si>
    <t>N3001</t>
  </si>
  <si>
    <t>TINH DẦU ON1 SẢ LAVENDER 100ML/CH12</t>
  </si>
  <si>
    <t>N3101</t>
  </si>
  <si>
    <t>TINH DẦU ON1 CAM SẢ 100ML/CH12</t>
  </si>
  <si>
    <t>NGM40</t>
  </si>
  <si>
    <t>NƯỚC GIẶT LIX MATIC HƯƠNG NƯỚC HOA 3,6KG/C04</t>
  </si>
  <si>
    <t>N2601</t>
  </si>
  <si>
    <t>NƯỚC GIẶT LIX MATIC HƯƠNG BAMBOO 3,6KG/C04</t>
  </si>
  <si>
    <t>STT</t>
  </si>
  <si>
    <t>MÃ SP</t>
  </si>
  <si>
    <t>TÊN SP</t>
  </si>
  <si>
    <t>366940445061687</t>
  </si>
  <si>
    <t>368633199013801</t>
  </si>
  <si>
    <t>368605190602943</t>
  </si>
  <si>
    <t>366909009196710</t>
  </si>
  <si>
    <t>366852289570416</t>
  </si>
  <si>
    <t>366856837367684</t>
  </si>
  <si>
    <t>368612720880962</t>
  </si>
  <si>
    <t>366823899540426</t>
  </si>
  <si>
    <t>366829491842073</t>
  </si>
  <si>
    <t>366776295819860</t>
  </si>
  <si>
    <t>366833415998757</t>
  </si>
  <si>
    <t>368509996896577</t>
  </si>
  <si>
    <t>366823281073035</t>
  </si>
  <si>
    <t>368509990085120</t>
  </si>
  <si>
    <t>368520578744515</t>
  </si>
  <si>
    <t>366792265894844</t>
  </si>
  <si>
    <t>366805278131249</t>
  </si>
  <si>
    <t>368523970204620</t>
  </si>
  <si>
    <t>366793668766625</t>
  </si>
  <si>
    <t>368516364337954</t>
  </si>
  <si>
    <t>368568957864384</t>
  </si>
  <si>
    <t>368551753054323</t>
  </si>
  <si>
    <t>368523769966316</t>
  </si>
  <si>
    <t>366785261476128</t>
  </si>
  <si>
    <t>366795651887683</t>
  </si>
  <si>
    <t>368547147370995</t>
  </si>
  <si>
    <t>368536750508266</t>
  </si>
  <si>
    <t>368524544679933</t>
  </si>
  <si>
    <t>368546722672112</t>
  </si>
  <si>
    <t>368540312207705</t>
  </si>
  <si>
    <t>368547306422399</t>
  </si>
  <si>
    <t>366763820763442</t>
  </si>
  <si>
    <t>368514106456535</t>
  </si>
  <si>
    <t>366764803487226</t>
  </si>
  <si>
    <t>366714674638638</t>
  </si>
  <si>
    <t>366706666113129</t>
  </si>
  <si>
    <t>366731636700552</t>
  </si>
  <si>
    <t>366723447521824</t>
  </si>
  <si>
    <t>368437973797379</t>
  </si>
  <si>
    <t>366668290877171</t>
  </si>
  <si>
    <t>366706842189635</t>
  </si>
  <si>
    <t>366736804358078</t>
  </si>
  <si>
    <t>366685659659617</t>
  </si>
  <si>
    <t>366661485559617</t>
  </si>
  <si>
    <t>366683845566096</t>
  </si>
  <si>
    <t>368421509544079</t>
  </si>
  <si>
    <t>366658838513403</t>
  </si>
  <si>
    <t>368381552090004</t>
  </si>
  <si>
    <t>366662217337888</t>
  </si>
  <si>
    <t>366676601389549</t>
  </si>
  <si>
    <t>368379541982289</t>
  </si>
  <si>
    <t>368387746818915</t>
  </si>
  <si>
    <t>366639437734234</t>
  </si>
  <si>
    <t>366612090835392</t>
  </si>
  <si>
    <t>366614884135392</t>
  </si>
  <si>
    <t>368377522783818</t>
  </si>
  <si>
    <t>366619081358078</t>
  </si>
  <si>
    <t>368352385326982</t>
  </si>
  <si>
    <t>366635632172587</t>
  </si>
  <si>
    <t>368345393155543</t>
  </si>
  <si>
    <t>366636217719051</t>
  </si>
  <si>
    <t>368351356949020</t>
  </si>
  <si>
    <t>366627605043670</t>
  </si>
  <si>
    <t>366615034208905</t>
  </si>
  <si>
    <t>366623413418096</t>
  </si>
  <si>
    <t>368331590842500</t>
  </si>
  <si>
    <t>366618619076989</t>
  </si>
  <si>
    <t>366560263482935</t>
  </si>
  <si>
    <t>366516491429036</t>
  </si>
  <si>
    <t>366572647680799</t>
  </si>
  <si>
    <t>368322549052885</t>
  </si>
  <si>
    <t>368277986838638</t>
  </si>
  <si>
    <t>366581041606312</t>
  </si>
  <si>
    <t>366577226558876</t>
  </si>
  <si>
    <t>366549260889761</t>
  </si>
  <si>
    <t>366517493003057</t>
  </si>
  <si>
    <t>366559054942243</t>
  </si>
  <si>
    <t>368271366901564</t>
  </si>
  <si>
    <t>368306126290522</t>
  </si>
  <si>
    <t>368325113810004</t>
  </si>
  <si>
    <t>368273953495804</t>
  </si>
  <si>
    <t>368254957099062</t>
  </si>
  <si>
    <t>368216592012780</t>
  </si>
  <si>
    <t>366561605064995</t>
  </si>
  <si>
    <t>368276131556247</t>
  </si>
  <si>
    <t>368275735976010</t>
  </si>
  <si>
    <t>368211193644840</t>
  </si>
  <si>
    <t>366518623246916</t>
  </si>
  <si>
    <t>366520625783403</t>
  </si>
  <si>
    <t>368263713074033</t>
  </si>
  <si>
    <t>368205566694844</t>
  </si>
  <si>
    <t>368210756868919</t>
  </si>
  <si>
    <t>368195967709943</t>
  </si>
  <si>
    <t>368203549220300</t>
  </si>
  <si>
    <t>366481802236809</t>
  </si>
  <si>
    <t>366439890433864</t>
  </si>
  <si>
    <t>366447071486954</t>
  </si>
  <si>
    <t>366459833833477</t>
  </si>
  <si>
    <t>366470216399793</t>
  </si>
  <si>
    <t>366472000841353</t>
  </si>
  <si>
    <t>366425894506324</t>
  </si>
  <si>
    <t>366452842645322</t>
  </si>
  <si>
    <t>368184330879673</t>
  </si>
  <si>
    <t>368156992915573</t>
  </si>
  <si>
    <t>366463200494634</t>
  </si>
  <si>
    <t>368178332431634</t>
  </si>
  <si>
    <t>368188703944482</t>
  </si>
  <si>
    <t>366432840167838</t>
  </si>
  <si>
    <t>368163338363332</t>
  </si>
  <si>
    <t>368168915958198</t>
  </si>
  <si>
    <t>366438807258198</t>
  </si>
  <si>
    <t>368139788724917</t>
  </si>
  <si>
    <t>368138958979891</t>
  </si>
  <si>
    <t>368139154796005</t>
  </si>
  <si>
    <t>366426600945891</t>
  </si>
  <si>
    <t>368121194947820</t>
  </si>
  <si>
    <t>368153903622399</t>
  </si>
  <si>
    <t>366414803800322</t>
  </si>
  <si>
    <t>366400836316646</t>
  </si>
  <si>
    <t>368125759519974</t>
  </si>
  <si>
    <t>368103977873670</t>
  </si>
  <si>
    <t>368096194741912</t>
  </si>
  <si>
    <t>366396013146177</t>
  </si>
  <si>
    <t>368090392980043</t>
  </si>
  <si>
    <t>368092975251823</t>
  </si>
  <si>
    <t>368094370343105</t>
  </si>
  <si>
    <t>368127506107857</t>
  </si>
  <si>
    <t>368094165442697</t>
  </si>
  <si>
    <t>366347484965864</t>
  </si>
  <si>
    <t>368107917573668</t>
  </si>
  <si>
    <t>368086738212657</t>
  </si>
  <si>
    <t>366344258486306</t>
  </si>
  <si>
    <t>366346249546101</t>
  </si>
  <si>
    <t>368081739546101</t>
  </si>
  <si>
    <t>368067362799611</t>
  </si>
  <si>
    <t>368049790384586</t>
  </si>
  <si>
    <t>368088703726351</t>
  </si>
  <si>
    <t>366338836926351</t>
  </si>
  <si>
    <t>366331453889028</t>
  </si>
  <si>
    <t>368041798872403</t>
  </si>
  <si>
    <t>368060553427465</t>
  </si>
  <si>
    <t>368034591082262</t>
  </si>
  <si>
    <t>368030777431336</t>
  </si>
  <si>
    <t>366302689676409</t>
  </si>
  <si>
    <t>368068705814738</t>
  </si>
  <si>
    <t>366294485427621</t>
  </si>
  <si>
    <t>366322616112960</t>
  </si>
  <si>
    <t>366316025244058</t>
  </si>
  <si>
    <t>366301256089824</t>
  </si>
  <si>
    <t>368013398537992</t>
  </si>
  <si>
    <t>368027133566283</t>
  </si>
  <si>
    <t>366290047508077</t>
  </si>
  <si>
    <t>368017754127380</t>
  </si>
  <si>
    <t>366261691005556</t>
  </si>
  <si>
    <t>366282661800978</t>
  </si>
  <si>
    <t>368003178552837</t>
  </si>
  <si>
    <t>366288228386984</t>
  </si>
  <si>
    <t>366273840794458</t>
  </si>
  <si>
    <t>368013326135140</t>
  </si>
  <si>
    <t>367987562114030</t>
  </si>
  <si>
    <t>367995745960585</t>
  </si>
  <si>
    <t>367992944750334</t>
  </si>
  <si>
    <t>366254878169841</t>
  </si>
  <si>
    <t>366257874819520</t>
  </si>
  <si>
    <t>367965199337441</t>
  </si>
  <si>
    <t>366283214193372</t>
  </si>
  <si>
    <t>366272038613548</t>
  </si>
  <si>
    <t>366245673428695</t>
  </si>
  <si>
    <t>366237499487724</t>
  </si>
  <si>
    <t>367965581036493</t>
  </si>
  <si>
    <t>366279213542478</t>
  </si>
  <si>
    <t>367970568349502</t>
  </si>
  <si>
    <t>367961595772280</t>
  </si>
  <si>
    <t>366255638399867</t>
  </si>
  <si>
    <t>367962587114819</t>
  </si>
  <si>
    <t>366243667936576</t>
  </si>
  <si>
    <t>366261434864403</t>
  </si>
  <si>
    <t>366277403262128</t>
  </si>
  <si>
    <t>366234692900708</t>
  </si>
  <si>
    <t>366270406652180</t>
  </si>
  <si>
    <t>366249652508084</t>
  </si>
  <si>
    <t>367956385403819</t>
  </si>
  <si>
    <t>366226098303819</t>
  </si>
  <si>
    <t>367980934626712</t>
  </si>
  <si>
    <t>366254034186097</t>
  </si>
  <si>
    <t>367999103110176</t>
  </si>
  <si>
    <t>367954991473753</t>
  </si>
  <si>
    <t>366242851045913</t>
  </si>
  <si>
    <t>366236478980290</t>
  </si>
  <si>
    <t>366223098142916</t>
  </si>
  <si>
    <t>366270404064441</t>
  </si>
  <si>
    <t>366251250757911</t>
  </si>
  <si>
    <t>367976139645414</t>
  </si>
  <si>
    <t>366254632516233</t>
  </si>
  <si>
    <t>366269411593586</t>
  </si>
  <si>
    <t>367968551299177</t>
  </si>
  <si>
    <t>367956790774337</t>
  </si>
  <si>
    <t>367954185792706</t>
  </si>
  <si>
    <t>367947992192706</t>
  </si>
  <si>
    <t>367956176124353</t>
  </si>
  <si>
    <t>367985504316168</t>
  </si>
  <si>
    <t>366257207796312</t>
  </si>
  <si>
    <t>367976510608236</t>
  </si>
  <si>
    <t>366225061144441</t>
  </si>
  <si>
    <t>366227454952892</t>
  </si>
  <si>
    <t>366248404287226</t>
  </si>
  <si>
    <t>367929595108297</t>
  </si>
  <si>
    <t>366220069950187</t>
  </si>
  <si>
    <t>367961534130292</t>
  </si>
  <si>
    <t>367962320592911</t>
  </si>
  <si>
    <t>367965100587579</t>
  </si>
  <si>
    <t>366234027052145</t>
  </si>
  <si>
    <t>366224029500307</t>
  </si>
  <si>
    <t>367931558609649</t>
  </si>
  <si>
    <t>367949537832621</t>
  </si>
  <si>
    <t>367917573329475</t>
  </si>
  <si>
    <t>366237200601044</t>
  </si>
  <si>
    <t>366195281695941</t>
  </si>
  <si>
    <t>366203264475578</t>
  </si>
  <si>
    <t>366235805250678</t>
  </si>
  <si>
    <t>366196472837517</t>
  </si>
  <si>
    <t>367938936072079</t>
  </si>
  <si>
    <t>367924966427306</t>
  </si>
  <si>
    <t>366225401842348</t>
  </si>
  <si>
    <t>366225602820914</t>
  </si>
  <si>
    <t>366218015776010</t>
  </si>
  <si>
    <t>367920137585340</t>
  </si>
  <si>
    <t>367892189441144</t>
  </si>
  <si>
    <t>366209415636169</t>
  </si>
  <si>
    <t>366206611477984</t>
  </si>
  <si>
    <t>367921922377984</t>
  </si>
  <si>
    <t>367928112786925</t>
  </si>
  <si>
    <t>367883987596774</t>
  </si>
  <si>
    <t>366172453563486</t>
  </si>
  <si>
    <t>366180245921339</t>
  </si>
  <si>
    <t>367912736911567</t>
  </si>
  <si>
    <t>366132287535881</t>
  </si>
  <si>
    <t>366161063139802</t>
  </si>
  <si>
    <t>367868574128724</t>
  </si>
  <si>
    <t>366181807634303</t>
  </si>
  <si>
    <t>367861741668580</t>
  </si>
  <si>
    <t>367863731076595</t>
  </si>
  <si>
    <t>367875314579965</t>
  </si>
  <si>
    <t>366134615248618</t>
  </si>
  <si>
    <t>367872502060587</t>
  </si>
  <si>
    <t>366119214542869</t>
  </si>
  <si>
    <t>367839933976981</t>
  </si>
  <si>
    <t>366131802236055</t>
  </si>
  <si>
    <t>366116821695400</t>
  </si>
  <si>
    <t>366113838076362</t>
  </si>
  <si>
    <t>367851111822437</t>
  </si>
  <si>
    <t>366106235166396</t>
  </si>
  <si>
    <t>366102826681265</t>
  </si>
  <si>
    <t>367849301990393</t>
  </si>
  <si>
    <t>366071685534268</t>
  </si>
  <si>
    <t>367833123015493</t>
  </si>
  <si>
    <t>366097232308352</t>
  </si>
  <si>
    <t>367814950813342</t>
  </si>
  <si>
    <t>366086858732841</t>
  </si>
  <si>
    <t>366082050478841</t>
  </si>
  <si>
    <t>367784798422103</t>
  </si>
  <si>
    <t>366072245793586</t>
  </si>
  <si>
    <t>366059470419741</t>
  </si>
  <si>
    <t>366093809041786</t>
  </si>
  <si>
    <t>367799152278223</t>
  </si>
  <si>
    <t>367814524966942</t>
  </si>
  <si>
    <t>367816718630708</t>
  </si>
  <si>
    <t>367819700796735</t>
  </si>
  <si>
    <t>366061051921139</t>
  </si>
  <si>
    <t>367765799984324</t>
  </si>
  <si>
    <t>366046466297348</t>
  </si>
  <si>
    <t>367811710300117</t>
  </si>
  <si>
    <t>367796913835075</t>
  </si>
  <si>
    <t>367787534378607</t>
  </si>
  <si>
    <t>366048250824742</t>
  </si>
  <si>
    <t>367771177554233</t>
  </si>
  <si>
    <t>367796510920899</t>
  </si>
  <si>
    <t>366032291377436</t>
  </si>
  <si>
    <t>366030490993168</t>
  </si>
  <si>
    <t>367801700259132</t>
  </si>
  <si>
    <t>366034472265458</t>
  </si>
  <si>
    <t>367748598372135</t>
  </si>
  <si>
    <t>367787112746122</t>
  </si>
  <si>
    <t>367748989840200</t>
  </si>
  <si>
    <t>367768539020670</t>
  </si>
  <si>
    <t>366037642656072</t>
  </si>
  <si>
    <t>367757962046184</t>
  </si>
  <si>
    <t>366021657050388</t>
  </si>
  <si>
    <t>366001686108276</t>
  </si>
  <si>
    <t>367769122108276</t>
  </si>
  <si>
    <t>366031844884756</t>
  </si>
  <si>
    <t>367705991155665</t>
  </si>
  <si>
    <t>367682980167264</t>
  </si>
  <si>
    <t>367722924199676</t>
  </si>
  <si>
    <t>365991824929159</t>
  </si>
  <si>
    <t>367718704203404</t>
  </si>
  <si>
    <t>365937891026771</t>
  </si>
  <si>
    <t>365966238250428</t>
  </si>
  <si>
    <t>367696534659668</t>
  </si>
  <si>
    <t>367698121184156</t>
  </si>
  <si>
    <t>367690323633140</t>
  </si>
  <si>
    <t>367653591761632</t>
  </si>
  <si>
    <t>367653571993370</t>
  </si>
  <si>
    <t>367670530207923</t>
  </si>
  <si>
    <t>367665733135075</t>
  </si>
  <si>
    <t>365936836140193</t>
  </si>
  <si>
    <t>365919840230562</t>
  </si>
  <si>
    <t>367618778833018</t>
  </si>
  <si>
    <t>367643317307051</t>
  </si>
  <si>
    <t>367633332502100</t>
  </si>
  <si>
    <t>367628138547306</t>
  </si>
  <si>
    <t>367631928838518</t>
  </si>
  <si>
    <t>365881075241557</t>
  </si>
  <si>
    <t>365919004714955</t>
  </si>
  <si>
    <t>367595190092068</t>
  </si>
  <si>
    <t>365883654915858</t>
  </si>
  <si>
    <t>367614756000913</t>
  </si>
  <si>
    <t>367603970180805</t>
  </si>
  <si>
    <t>367590773441529</t>
  </si>
  <si>
    <t>365870463912427</t>
  </si>
  <si>
    <t>365896018288675</t>
  </si>
  <si>
    <t>367581172995394</t>
  </si>
  <si>
    <t>367575983705840</t>
  </si>
  <si>
    <t>367612112856072</t>
  </si>
  <si>
    <t>367603527998132</t>
  </si>
  <si>
    <t>367586975955520</t>
  </si>
  <si>
    <t>367596329904962</t>
  </si>
  <si>
    <t>365885612244666</t>
  </si>
  <si>
    <t>367587739844666</t>
  </si>
  <si>
    <t>367601923710960</t>
  </si>
  <si>
    <t>365867265912485</t>
  </si>
  <si>
    <t>365872830933894</t>
  </si>
  <si>
    <t>365868428603474</t>
  </si>
  <si>
    <t>367560794845664</t>
  </si>
  <si>
    <t>367569362137162</t>
  </si>
  <si>
    <t>365859246846296</t>
  </si>
  <si>
    <t>365850272563875</t>
  </si>
  <si>
    <t>367584543764302</t>
  </si>
  <si>
    <t>365862651802665</t>
  </si>
  <si>
    <t>367538579036576</t>
  </si>
  <si>
    <t>365850056664723</t>
  </si>
  <si>
    <t>367590509810520</t>
  </si>
  <si>
    <t>367590911138956</t>
  </si>
  <si>
    <t>365843065955082</t>
  </si>
  <si>
    <t>367570355477925</t>
  </si>
  <si>
    <t>367570352137540</t>
  </si>
  <si>
    <t>365831045811424</t>
  </si>
  <si>
    <t>367517153505840</t>
  </si>
  <si>
    <t>365776460243165</t>
  </si>
  <si>
    <t>365783028670539</t>
  </si>
  <si>
    <t>365768234113431</t>
  </si>
  <si>
    <t>365750871148615</t>
  </si>
  <si>
    <t>367488907620327</t>
  </si>
  <si>
    <t>365749844638696</t>
  </si>
  <si>
    <t>365741609209447</t>
  </si>
  <si>
    <t>365748200999909</t>
  </si>
  <si>
    <t>365739004195342</t>
  </si>
  <si>
    <t>365739003716183</t>
  </si>
  <si>
    <t>367396992711424</t>
  </si>
  <si>
    <t>367424774848835</t>
  </si>
  <si>
    <t>365690055122440</t>
  </si>
  <si>
    <t>367388355581513</t>
  </si>
  <si>
    <t>367409339454604</t>
  </si>
  <si>
    <t>367339349119741</t>
  </si>
  <si>
    <t>365571085572217</t>
  </si>
  <si>
    <t>367312532024243</t>
  </si>
  <si>
    <t>365555873912181</t>
  </si>
  <si>
    <t>365581249646081</t>
  </si>
  <si>
    <t>365591204919210</t>
  </si>
  <si>
    <t>367297554919210</t>
  </si>
  <si>
    <t>367251986218254</t>
  </si>
  <si>
    <t>367278933601875</t>
  </si>
  <si>
    <t>367279112472536</t>
  </si>
  <si>
    <t>367254558629238</t>
  </si>
  <si>
    <t>365543842979965</t>
  </si>
  <si>
    <t>365535646318711</t>
  </si>
  <si>
    <t>365516685660334</t>
  </si>
  <si>
    <t>367244363414525</t>
  </si>
  <si>
    <t>365515496559846</t>
  </si>
  <si>
    <t>367259327515587</t>
  </si>
  <si>
    <t>367240967931616</t>
  </si>
  <si>
    <t>365523455743670</t>
  </si>
  <si>
    <t>365519876150447</t>
  </si>
  <si>
    <t>367258519212181</t>
  </si>
  <si>
    <t>367251727506098</t>
  </si>
  <si>
    <t>365548202878453</t>
  </si>
  <si>
    <t>367253928597908</t>
  </si>
  <si>
    <t>367236556970581</t>
  </si>
  <si>
    <t>367251323937540</t>
  </si>
  <si>
    <t>367249527140633</t>
  </si>
  <si>
    <t>365514259426485</t>
  </si>
  <si>
    <t>367244520821579</t>
  </si>
  <si>
    <t>365523631320327</t>
  </si>
  <si>
    <t>367204997837716</t>
  </si>
  <si>
    <t>367216559055000</t>
  </si>
  <si>
    <t>365515411708352</t>
  </si>
  <si>
    <t>367221514780205</t>
  </si>
  <si>
    <t>367207748217363</t>
  </si>
  <si>
    <t>367185975992548</t>
  </si>
  <si>
    <t>365456084161813</t>
  </si>
  <si>
    <t>365465080259131</t>
  </si>
  <si>
    <t>367179797356865</t>
  </si>
  <si>
    <t>365493001335776</t>
  </si>
  <si>
    <t>365464457935776</t>
  </si>
  <si>
    <t>365455471657312</t>
  </si>
  <si>
    <t>365470840244169</t>
  </si>
  <si>
    <t>367204700438169</t>
  </si>
  <si>
    <t>367196915738169</t>
  </si>
  <si>
    <t>365475630997114</t>
  </si>
  <si>
    <t>367180767620625</t>
  </si>
  <si>
    <t>367194521045636</t>
  </si>
  <si>
    <t>365460081299228</t>
  </si>
  <si>
    <t>367153799062722</t>
  </si>
  <si>
    <t>365455660805689</t>
  </si>
  <si>
    <t>365445281150148</t>
  </si>
  <si>
    <t>367163166657527</t>
  </si>
  <si>
    <t>365437669228552</t>
  </si>
  <si>
    <t>367164758874183</t>
  </si>
  <si>
    <t>365453641438502</t>
  </si>
  <si>
    <t>365445649475024</t>
  </si>
  <si>
    <t>367133994724114</t>
  </si>
  <si>
    <t>365440651098022</t>
  </si>
  <si>
    <t>367180512332825</t>
  </si>
  <si>
    <t>367172712737724</t>
  </si>
  <si>
    <t>365419878670461</t>
  </si>
  <si>
    <t>367141375429343</t>
  </si>
  <si>
    <t>367169302984433</t>
  </si>
  <si>
    <t>365419671009985</t>
  </si>
  <si>
    <t>367144956919637</t>
  </si>
  <si>
    <t>367129996114237</t>
  </si>
  <si>
    <t>367139571592571</t>
  </si>
  <si>
    <t>367165501702093</t>
  </si>
  <si>
    <t>367149918365044</t>
  </si>
  <si>
    <t>367144327913403</t>
  </si>
  <si>
    <t>367130760443105</t>
  </si>
  <si>
    <t>367144124070860</t>
  </si>
  <si>
    <t>365427830038894</t>
  </si>
  <si>
    <t>367134340763846</t>
  </si>
  <si>
    <t>365389872458532</t>
  </si>
  <si>
    <t>365432003910620</t>
  </si>
  <si>
    <t>367120769705094</t>
  </si>
  <si>
    <t>365405658860836</t>
  </si>
  <si>
    <t>367123768377634</t>
  </si>
  <si>
    <t>367106579664723</t>
  </si>
  <si>
    <t>367124949654924</t>
  </si>
  <si>
    <t>365410048305353</t>
  </si>
  <si>
    <t>367138914278223</t>
  </si>
  <si>
    <t>365416621955082</t>
  </si>
  <si>
    <t>365418405730483</t>
  </si>
  <si>
    <t>367135113576188</t>
  </si>
  <si>
    <t>365389847776188</t>
  </si>
  <si>
    <t>367108350932815</t>
  </si>
  <si>
    <t>367101350043531</t>
  </si>
  <si>
    <t>365365896609467</t>
  </si>
  <si>
    <t>367110520163594</t>
  </si>
  <si>
    <t>367111115008121</t>
  </si>
  <si>
    <t>367084767499100</t>
  </si>
  <si>
    <t>367049184974234</t>
  </si>
  <si>
    <t>367100108157432</t>
  </si>
  <si>
    <t>365353457032981</t>
  </si>
  <si>
    <t>365368824814322</t>
  </si>
  <si>
    <t>367080136947166</t>
  </si>
  <si>
    <t>365339669559290</t>
  </si>
  <si>
    <t>367072561848615</t>
  </si>
  <si>
    <t>365332099584973</t>
  </si>
  <si>
    <t>367088901195515</t>
  </si>
  <si>
    <t>367090303481265</t>
  </si>
  <si>
    <t>365345041429511</t>
  </si>
  <si>
    <t>365317296298835</t>
  </si>
  <si>
    <t>367044375988092</t>
  </si>
  <si>
    <t>367040170157454</t>
  </si>
  <si>
    <t>365317288757454</t>
  </si>
  <si>
    <t>365323271435518</t>
  </si>
  <si>
    <t>365305292765957</t>
  </si>
  <si>
    <t>365344411881265</t>
  </si>
  <si>
    <t>365335630203105</t>
  </si>
  <si>
    <t>365312460374192</t>
  </si>
  <si>
    <t>365300473663793</t>
  </si>
  <si>
    <t>365294678876737</t>
  </si>
  <si>
    <t>365293077829343</t>
  </si>
  <si>
    <t>367024926679526</t>
  </si>
  <si>
    <t>366995779046838</t>
  </si>
  <si>
    <t>365281298338228</t>
  </si>
  <si>
    <t>365286280854129</t>
  </si>
  <si>
    <t>366978196207726</t>
  </si>
  <si>
    <t>365247683833111</t>
  </si>
  <si>
    <t>365287045587994</t>
  </si>
  <si>
    <t>365291418102348</t>
  </si>
  <si>
    <t>365269864848975</t>
  </si>
  <si>
    <t>365265658364934</t>
  </si>
  <si>
    <t>365262071220124</t>
  </si>
  <si>
    <t>365274261381082</t>
  </si>
  <si>
    <t>366992523534350</t>
  </si>
  <si>
    <t>365267433451949</t>
  </si>
  <si>
    <t>366991131654687</t>
  </si>
  <si>
    <t>366994515356146</t>
  </si>
  <si>
    <t>365255848142726</t>
  </si>
  <si>
    <t>365246844302438</t>
  </si>
  <si>
    <t>366990523482913</t>
  </si>
  <si>
    <t>365269203977681</t>
  </si>
  <si>
    <t>365252205919214</t>
  </si>
  <si>
    <t>365217291135791</t>
  </si>
  <si>
    <t>365241421056626</t>
  </si>
  <si>
    <t>366923793381512</t>
  </si>
  <si>
    <t>365243607914401</t>
  </si>
  <si>
    <t>366939765967131</t>
  </si>
  <si>
    <t>366914197006241</t>
  </si>
  <si>
    <t>366912391224673</t>
  </si>
  <si>
    <t>365214479124673</t>
  </si>
  <si>
    <t>366916790881648</t>
  </si>
  <si>
    <t>365218264500881</t>
  </si>
  <si>
    <t>366935760929726</t>
  </si>
  <si>
    <t>366929763372217</t>
  </si>
  <si>
    <t>366940549612677</t>
  </si>
  <si>
    <t>365218248422844</t>
  </si>
  <si>
    <t>366923164516099</t>
  </si>
  <si>
    <t>365228439639671</t>
  </si>
  <si>
    <t>365222637936822</t>
  </si>
  <si>
    <t>366921353954705</t>
  </si>
  <si>
    <t>366942330630770</t>
  </si>
  <si>
    <t>365222427103105</t>
  </si>
  <si>
    <t>366921148603343</t>
  </si>
  <si>
    <t>365192077812930</t>
  </si>
  <si>
    <t>366909136370926</t>
  </si>
  <si>
    <t>366911327189540</t>
  </si>
  <si>
    <t>365200624674736</t>
  </si>
  <si>
    <t>365216207890348</t>
  </si>
  <si>
    <t>365176288219569</t>
  </si>
  <si>
    <t>365208206606033</t>
  </si>
  <si>
    <t>366907328943688</t>
  </si>
  <si>
    <t>365177671284245</t>
  </si>
  <si>
    <t>365173086083925</t>
  </si>
  <si>
    <t>365194438310503</t>
  </si>
  <si>
    <t>366879388206943</t>
  </si>
  <si>
    <t>365173073963757</t>
  </si>
  <si>
    <t>365159276770495</t>
  </si>
  <si>
    <t>366875388475450</t>
  </si>
  <si>
    <t>366885955996386</t>
  </si>
  <si>
    <t>366865179183961</t>
  </si>
  <si>
    <t>366902337177395</t>
  </si>
  <si>
    <t>365168068357506</t>
  </si>
  <si>
    <t>365165657381513</t>
  </si>
  <si>
    <t>365180433608352</t>
  </si>
  <si>
    <t>365156255518479</t>
  </si>
  <si>
    <t>365152452787712</t>
  </si>
  <si>
    <t>366874514742716</t>
  </si>
  <si>
    <t>366852572245389</t>
  </si>
  <si>
    <t>366866506630132</t>
  </si>
  <si>
    <t>366859520642837</t>
  </si>
  <si>
    <t>365109054683316</t>
  </si>
  <si>
    <t>365114613305545</t>
  </si>
  <si>
    <t>365069297356015</t>
  </si>
  <si>
    <t>365079010555305</t>
  </si>
  <si>
    <t>365070008578176</t>
  </si>
  <si>
    <t>365020495214522</t>
  </si>
  <si>
    <t>365041057808970</t>
  </si>
  <si>
    <t>366715771152301</t>
  </si>
  <si>
    <t>366757367257886</t>
  </si>
  <si>
    <t>365036251231549</t>
  </si>
  <si>
    <t>365003881388525</t>
  </si>
  <si>
    <t>366752144386887</t>
  </si>
  <si>
    <t>365011233818847</t>
  </si>
  <si>
    <t>366745914835920</t>
  </si>
  <si>
    <t>366737514233910</t>
  </si>
  <si>
    <t>364993499240413</t>
  </si>
  <si>
    <t>365000685926020</t>
  </si>
  <si>
    <t>364985264972883</t>
  </si>
  <si>
    <t>366660980780731</t>
  </si>
  <si>
    <t>364981051054866</t>
  </si>
  <si>
    <t>364999635128464</t>
  </si>
  <si>
    <t>366689519507824</t>
  </si>
  <si>
    <t>364953618188314</t>
  </si>
  <si>
    <t>366702103066013</t>
  </si>
  <si>
    <t>364933432530005</t>
  </si>
  <si>
    <t>366627731793778</t>
  </si>
  <si>
    <t>364923641312288</t>
  </si>
  <si>
    <t>366595568180332</t>
  </si>
  <si>
    <t>364907261580332</t>
  </si>
  <si>
    <t>364888492821186</t>
  </si>
  <si>
    <t>366593358568867</t>
  </si>
  <si>
    <t>366615732198432</t>
  </si>
  <si>
    <t>366580967172116</t>
  </si>
  <si>
    <t>364904830712890</t>
  </si>
  <si>
    <t>366602926147289</t>
  </si>
  <si>
    <t>366600118148937</t>
  </si>
  <si>
    <t>366608309148454</t>
  </si>
  <si>
    <t>366605112401235</t>
  </si>
  <si>
    <t>364896628461216</t>
  </si>
  <si>
    <t>364896216611096</t>
  </si>
  <si>
    <t>364870469117741</t>
  </si>
  <si>
    <t>366541199740149</t>
  </si>
  <si>
    <t>366553777421286</t>
  </si>
  <si>
    <t>366542373204037</t>
  </si>
  <si>
    <t>364864666958011</t>
  </si>
  <si>
    <t>366549371540024</t>
  </si>
  <si>
    <t>366556751773837</t>
  </si>
  <si>
    <t>364860070384126</t>
  </si>
  <si>
    <t>366526392599385</t>
  </si>
  <si>
    <t>364848863363883</t>
  </si>
  <si>
    <t>366565524856072</t>
  </si>
  <si>
    <t>364847040226640</t>
  </si>
  <si>
    <t>366538334684195</t>
  </si>
  <si>
    <t>366562703631416</t>
  </si>
  <si>
    <t>366513970717193</t>
  </si>
  <si>
    <t>364807299176866</t>
  </si>
  <si>
    <t>364811683656093</t>
  </si>
  <si>
    <t>366496152349727</t>
  </si>
  <si>
    <t>364826497973210</t>
  </si>
  <si>
    <t>364810481471765</t>
  </si>
  <si>
    <t>366521948672619</t>
  </si>
  <si>
    <t>366526709164293</t>
  </si>
  <si>
    <t>364808679457396</t>
  </si>
  <si>
    <t>366515959328467</t>
  </si>
  <si>
    <t>364844223777337</t>
  </si>
  <si>
    <t>364825430376547</t>
  </si>
  <si>
    <t>366482750443693</t>
  </si>
  <si>
    <t>366487145354865</t>
  </si>
  <si>
    <t>366489140770456</t>
  </si>
  <si>
    <t>366518304336576</t>
  </si>
  <si>
    <t>366520303354865</t>
  </si>
  <si>
    <t>364836601988273</t>
  </si>
  <si>
    <t>366516110789213</t>
  </si>
  <si>
    <t>364820612166045</t>
  </si>
  <si>
    <t>366495516950813</t>
  </si>
  <si>
    <t>366490115744434</t>
  </si>
  <si>
    <t>364787292190291</t>
  </si>
  <si>
    <t>364796077427922</t>
  </si>
  <si>
    <t>364781898942153</t>
  </si>
  <si>
    <t>364790480697724</t>
  </si>
  <si>
    <t>364781889540887</t>
  </si>
  <si>
    <t>364782487534582</t>
  </si>
  <si>
    <t>366469977886603</t>
  </si>
  <si>
    <t>366446786770490</t>
  </si>
  <si>
    <t>364757886693924</t>
  </si>
  <si>
    <t>364774462464293</t>
  </si>
  <si>
    <t>364780451584436</t>
  </si>
  <si>
    <t>366450173140149</t>
  </si>
  <si>
    <t>364779254672518</t>
  </si>
  <si>
    <t>364767670859668</t>
  </si>
  <si>
    <t>366436793623916</t>
  </si>
  <si>
    <t>366465739806207</t>
  </si>
  <si>
    <t>366442352003873</t>
  </si>
  <si>
    <t>366441539264934</t>
  </si>
  <si>
    <t>366471324836926</t>
  </si>
  <si>
    <t>364784223406250</t>
  </si>
  <si>
    <t>366474918678036</t>
  </si>
  <si>
    <t>366469132144607</t>
  </si>
  <si>
    <t>366438731434313</t>
  </si>
  <si>
    <t>364778807619899</t>
  </si>
  <si>
    <t>366463509737070</t>
  </si>
  <si>
    <t>366389191387126</t>
  </si>
  <si>
    <t>366437724653621</t>
  </si>
  <si>
    <t>366436726053621</t>
  </si>
  <si>
    <t>366392598838215</t>
  </si>
  <si>
    <t>364744096660153</t>
  </si>
  <si>
    <t>366407984805201</t>
  </si>
  <si>
    <t>366436717631062</t>
  </si>
  <si>
    <t>364714892997906</t>
  </si>
  <si>
    <t>366432591610520</t>
  </si>
  <si>
    <t>364720683575615</t>
  </si>
  <si>
    <t>364740290016237</t>
  </si>
  <si>
    <t>364724661638627</t>
  </si>
  <si>
    <t>366382182412410</t>
  </si>
  <si>
    <t>366425171611029</t>
  </si>
  <si>
    <t>364707293502144</t>
  </si>
  <si>
    <t>364707071074371</t>
  </si>
  <si>
    <t>366433361104306</t>
  </si>
  <si>
    <t>364731839915812</t>
  </si>
  <si>
    <t>366403555211108</t>
  </si>
  <si>
    <t>366430552360008</t>
  </si>
  <si>
    <t>364729047010895</t>
  </si>
  <si>
    <t>364728627118768</t>
  </si>
  <si>
    <t>364746827330336</t>
  </si>
  <si>
    <t>364743020763883</t>
  </si>
  <si>
    <t>366409921373837</t>
  </si>
  <si>
    <t>364725617135466</t>
  </si>
  <si>
    <t>364704823003607</t>
  </si>
  <si>
    <t>366393708178700</t>
  </si>
  <si>
    <t>366432303110146</t>
  </si>
  <si>
    <t>364687451622828</t>
  </si>
  <si>
    <t>364702607691727</t>
  </si>
  <si>
    <t>366366718959371</t>
  </si>
  <si>
    <t>364690813706968</t>
  </si>
  <si>
    <t>364692409784191</t>
  </si>
  <si>
    <t>364638890414819</t>
  </si>
  <si>
    <t>366365701661104</t>
  </si>
  <si>
    <t>364637083366540</t>
  </si>
  <si>
    <t>364638080908353</t>
  </si>
  <si>
    <t>364648470250779</t>
  </si>
  <si>
    <t>364680214190460</t>
  </si>
  <si>
    <t>364665630096524</t>
  </si>
  <si>
    <t>366350722097064</t>
  </si>
  <si>
    <t>366323596134947</t>
  </si>
  <si>
    <t>366350107774203</t>
  </si>
  <si>
    <t>366343311390522</t>
  </si>
  <si>
    <t>364656643394356</t>
  </si>
  <si>
    <t>366325985317397</t>
  </si>
  <si>
    <t>364617486587126</t>
  </si>
  <si>
    <t>364618887108671</t>
  </si>
  <si>
    <t>364640072133018</t>
  </si>
  <si>
    <t>364640069072266</t>
  </si>
  <si>
    <t>366294358976892</t>
  </si>
  <si>
    <t>366293368010003</t>
  </si>
  <si>
    <t>366295952559615</t>
  </si>
  <si>
    <t>364616241154113</t>
  </si>
  <si>
    <t>364613057270490</t>
  </si>
  <si>
    <t>364611270434424</t>
  </si>
  <si>
    <t>366301736414594</t>
  </si>
  <si>
    <t>366303937661701</t>
  </si>
  <si>
    <t>364611469892469</t>
  </si>
  <si>
    <t>366306533893174</t>
  </si>
  <si>
    <t>366284789441870</t>
  </si>
  <si>
    <t>364632233132803</t>
  </si>
  <si>
    <t>366297726354806</t>
  </si>
  <si>
    <t>366311314670495</t>
  </si>
  <si>
    <t>364598624674392</t>
  </si>
  <si>
    <t>366263103050456</t>
  </si>
  <si>
    <t>366256535527861</t>
  </si>
  <si>
    <t>364572273276362</t>
  </si>
  <si>
    <t>366248976905858</t>
  </si>
  <si>
    <t>366248380647810</t>
  </si>
  <si>
    <t>364570823914010</t>
  </si>
  <si>
    <t>366242920082586</t>
  </si>
  <si>
    <t>364554092448487</t>
  </si>
  <si>
    <t>366227976603404</t>
  </si>
  <si>
    <t>364558044938406</t>
  </si>
  <si>
    <t>364546095578348</t>
  </si>
  <si>
    <t>366227359078036</t>
  </si>
  <si>
    <t>364545278698560</t>
  </si>
  <si>
    <t>366225723854242</t>
  </si>
  <si>
    <t>364544854953024</t>
  </si>
  <si>
    <t>364539096972649</t>
  </si>
  <si>
    <t>366214346343694</t>
  </si>
  <si>
    <t>364529886575450</t>
  </si>
  <si>
    <t>366212360175450</t>
  </si>
  <si>
    <t>364534253163663</t>
  </si>
  <si>
    <t>366203740309419</t>
  </si>
  <si>
    <t>364531030845027</t>
  </si>
  <si>
    <t>366198167245027</t>
  </si>
  <si>
    <t>364526866660798</t>
  </si>
  <si>
    <t>364526829833745</t>
  </si>
  <si>
    <t>364527802950932</t>
  </si>
  <si>
    <t>364523020737976</t>
  </si>
  <si>
    <t>364522620563883</t>
  </si>
  <si>
    <t>366193345163883</t>
  </si>
  <si>
    <t>364512677205008</t>
  </si>
  <si>
    <t>366180516428330</t>
  </si>
  <si>
    <t>364495476773837</t>
  </si>
  <si>
    <t>364505013273837</t>
  </si>
  <si>
    <t>366161786146341</t>
  </si>
  <si>
    <t>366168327406596</t>
  </si>
  <si>
    <t>366161517608530</t>
  </si>
  <si>
    <t>364484667599385</t>
  </si>
  <si>
    <t>364487039899385</t>
  </si>
  <si>
    <t>364475496320291</t>
  </si>
  <si>
    <t>364491002994642</t>
  </si>
  <si>
    <t>366140790960846</t>
  </si>
  <si>
    <t>364485623693073</t>
  </si>
  <si>
    <t>366146143319881</t>
  </si>
  <si>
    <t>364470664130731</t>
  </si>
  <si>
    <t>364466481040734</t>
  </si>
  <si>
    <t>366132986502023</t>
  </si>
  <si>
    <t>364475820361013</t>
  </si>
  <si>
    <t>364475408034194</t>
  </si>
  <si>
    <t>364471226205691</t>
  </si>
  <si>
    <t>364471224546058</t>
  </si>
  <si>
    <t>366134969228436</t>
  </si>
  <si>
    <t>364470022366564</t>
  </si>
  <si>
    <t>364458278662833</t>
  </si>
  <si>
    <t>366134128099784</t>
  </si>
  <si>
    <t>366116390305743</t>
  </si>
  <si>
    <t>366113597929547</t>
  </si>
  <si>
    <t>364447894152165</t>
  </si>
  <si>
    <t>364450444844393</t>
  </si>
  <si>
    <t>366116145983648</t>
  </si>
  <si>
    <t>364439885322902</t>
  </si>
  <si>
    <t>364449018461553</t>
  </si>
  <si>
    <t>366099174310308</t>
  </si>
  <si>
    <t>366097181971589</t>
  </si>
  <si>
    <t>366098579310308</t>
  </si>
  <si>
    <t>366103112805743</t>
  </si>
  <si>
    <t>364430266543109</t>
  </si>
  <si>
    <t>366091198638689</t>
  </si>
  <si>
    <t>364436003922035</t>
  </si>
  <si>
    <t>366092756139330</t>
  </si>
  <si>
    <t>366095728975531</t>
  </si>
  <si>
    <t>364428058430132</t>
  </si>
  <si>
    <t>364427464433745</t>
  </si>
  <si>
    <t>366086775409023</t>
  </si>
  <si>
    <t>366089354427884</t>
  </si>
  <si>
    <t>364425438284252</t>
  </si>
  <si>
    <t>366086550388713</t>
  </si>
  <si>
    <t>364425233602234</t>
  </si>
  <si>
    <t>366090312927884</t>
  </si>
  <si>
    <t>364420472502234</t>
  </si>
  <si>
    <t>366090502812964</t>
  </si>
  <si>
    <t>366077979063017</t>
  </si>
  <si>
    <t>364411697366331</t>
  </si>
  <si>
    <t>364418030114060</t>
  </si>
  <si>
    <t>364406897208976</t>
  </si>
  <si>
    <t>366073151137604</t>
  </si>
  <si>
    <t>364416615133894</t>
  </si>
  <si>
    <t>366078705934563</t>
  </si>
  <si>
    <t>366075318850982</t>
  </si>
  <si>
    <t>364406869436362</t>
  </si>
  <si>
    <t>364413003369286</t>
  </si>
  <si>
    <t>364412207636362</t>
  </si>
  <si>
    <t>366071507706516</t>
  </si>
  <si>
    <t>364411003336576</t>
  </si>
  <si>
    <t>366067519798288</t>
  </si>
  <si>
    <t>366061754605890</t>
  </si>
  <si>
    <t>366048936186178</t>
  </si>
  <si>
    <t>364391009481229</t>
  </si>
  <si>
    <t>366013567881265</t>
  </si>
  <si>
    <t>364354026632302</t>
  </si>
  <si>
    <t>366004123920901</t>
  </si>
  <si>
    <t>365982793422170</t>
  </si>
  <si>
    <t>364318235504051</t>
  </si>
  <si>
    <t>365974590450456</t>
  </si>
  <si>
    <t>364306298717777</t>
  </si>
  <si>
    <t>365975527281265</t>
  </si>
  <si>
    <t>364297035008510</t>
  </si>
  <si>
    <t>364284039401497</t>
  </si>
  <si>
    <t>365945760533447</t>
  </si>
  <si>
    <t>365941172731159</t>
  </si>
  <si>
    <t>365916137628261</t>
  </si>
  <si>
    <t>365902587530255</t>
  </si>
  <si>
    <t>365896174727506</t>
  </si>
  <si>
    <t>364180837034313</t>
  </si>
  <si>
    <t>365838582832490</t>
  </si>
  <si>
    <t>365841736322446</t>
  </si>
  <si>
    <t>364171465101102</t>
  </si>
  <si>
    <t>365834175683580</t>
  </si>
  <si>
    <t>364171804546758</t>
  </si>
  <si>
    <t>364159298362336</t>
  </si>
  <si>
    <t>364156656133447</t>
  </si>
  <si>
    <t>365818953173300</t>
  </si>
  <si>
    <t>364159653394107</t>
  </si>
  <si>
    <t>364150448132419</t>
  </si>
  <si>
    <t>364158003798560</t>
  </si>
  <si>
    <t>365816918657976</t>
  </si>
  <si>
    <t>365797382148902</t>
  </si>
  <si>
    <t>365811122589820</t>
  </si>
  <si>
    <t>364143843229285</t>
  </si>
  <si>
    <t>365801947915909</t>
  </si>
  <si>
    <t>365809507368880</t>
  </si>
  <si>
    <t>364146615814135</t>
  </si>
  <si>
    <t>365805115705044</t>
  </si>
  <si>
    <t>364143605707652</t>
  </si>
  <si>
    <t>364115292725750</t>
  </si>
  <si>
    <t>364128650388038</t>
  </si>
  <si>
    <t>364129452943622</t>
  </si>
  <si>
    <t>365779792024742</t>
  </si>
  <si>
    <t>365787958933921</t>
  </si>
  <si>
    <t>364112069958841</t>
  </si>
  <si>
    <t>365787107188568</t>
  </si>
  <si>
    <t>364116635384511</t>
  </si>
  <si>
    <t>365782907818296</t>
  </si>
  <si>
    <t>365781515501443</t>
  </si>
  <si>
    <t>365777729694642</t>
  </si>
  <si>
    <t>365779524801443</t>
  </si>
  <si>
    <t>365781104950456</t>
  </si>
  <si>
    <t>364110644652473</t>
  </si>
  <si>
    <t>364100868426834</t>
  </si>
  <si>
    <t>364109036858084</t>
  </si>
  <si>
    <t>364105668250600</t>
  </si>
  <si>
    <t>364107432729289</t>
  </si>
  <si>
    <t>365749581222303</t>
  </si>
  <si>
    <t>365763762417646</t>
  </si>
  <si>
    <t>365769938378267</t>
  </si>
  <si>
    <t>365773903538119</t>
  </si>
  <si>
    <t>365772504401311</t>
  </si>
  <si>
    <t>364103837205054</t>
  </si>
  <si>
    <t>365754358186062</t>
  </si>
  <si>
    <t>364104809185819</t>
  </si>
  <si>
    <t>365764511950879</t>
  </si>
  <si>
    <t>365759915738631</t>
  </si>
  <si>
    <t>365713390108686</t>
  </si>
  <si>
    <t>364087005268495</t>
  </si>
  <si>
    <t>365706585958657</t>
  </si>
  <si>
    <t>365744735951699</t>
  </si>
  <si>
    <t>364058469090765</t>
  </si>
  <si>
    <t>364081412955875</t>
  </si>
  <si>
    <t>364047682840426</t>
  </si>
  <si>
    <t>364070443694655</t>
  </si>
  <si>
    <t>364050268182913</t>
  </si>
  <si>
    <t>365737929191258</t>
  </si>
  <si>
    <t>364068655291258</t>
  </si>
  <si>
    <t>365725148734408</t>
  </si>
  <si>
    <t>365718158534408</t>
  </si>
  <si>
    <t>365707966042073</t>
  </si>
  <si>
    <t>364029685238089</t>
  </si>
  <si>
    <t>364048488843109</t>
  </si>
  <si>
    <t>365716953802421</t>
  </si>
  <si>
    <t>364055647730352</t>
  </si>
  <si>
    <t>364070431002904</t>
  </si>
  <si>
    <t>364055638323625</t>
  </si>
  <si>
    <t>365712353190813</t>
  </si>
  <si>
    <t>365724728331838</t>
  </si>
  <si>
    <t>365709150102757</t>
  </si>
  <si>
    <t>365740503622111</t>
  </si>
  <si>
    <t>365732510644420</t>
  </si>
  <si>
    <t>364049027529424</t>
  </si>
  <si>
    <t>364030823109660</t>
  </si>
  <si>
    <t>364036812116337</t>
  </si>
  <si>
    <t>365667567993306</t>
  </si>
  <si>
    <t>364025229098258</t>
  </si>
  <si>
    <t>365642596925759</t>
  </si>
  <si>
    <t>365675533820914</t>
  </si>
  <si>
    <t>365651962460366</t>
  </si>
  <si>
    <t>363975487710282</t>
  </si>
  <si>
    <t>365660948220914</t>
  </si>
  <si>
    <t>365684117434952</t>
  </si>
  <si>
    <t>365656538181753</t>
  </si>
  <si>
    <t>364018649802376</t>
  </si>
  <si>
    <t>363983672582294</t>
  </si>
  <si>
    <t>365639568907975</t>
  </si>
  <si>
    <t>364006824780156</t>
  </si>
  <si>
    <t>365656123982586</t>
  </si>
  <si>
    <t>365637954786004</t>
  </si>
  <si>
    <t>363999426445244</t>
  </si>
  <si>
    <t>363965874168228</t>
  </si>
  <si>
    <t>363985235696912</t>
  </si>
  <si>
    <t>365621189123308</t>
  </si>
  <si>
    <t>364009407204365</t>
  </si>
  <si>
    <t>365654324496912</t>
  </si>
  <si>
    <t>363971056535566</t>
  </si>
  <si>
    <t>363992209891510</t>
  </si>
  <si>
    <t>363993808712410</t>
  </si>
  <si>
    <t>363943291744502</t>
  </si>
  <si>
    <t>363985410641173</t>
  </si>
  <si>
    <t>365633752840283</t>
  </si>
  <si>
    <t>363974811367684</t>
  </si>
  <si>
    <t>365615982270853</t>
  </si>
  <si>
    <t>363901694481513</t>
  </si>
  <si>
    <t>363917470935652</t>
  </si>
  <si>
    <t>365577158299760</t>
  </si>
  <si>
    <t>363902488020713</t>
  </si>
  <si>
    <t>365579951217124</t>
  </si>
  <si>
    <t>363884494154044</t>
  </si>
  <si>
    <t>363924634778004</t>
  </si>
  <si>
    <t>365593309077107</t>
  </si>
  <si>
    <t>363911258238319</t>
  </si>
  <si>
    <t>365588506659044</t>
  </si>
  <si>
    <t>363922617187201</t>
  </si>
  <si>
    <t>363879889243057</t>
  </si>
  <si>
    <t>365579905686389</t>
  </si>
  <si>
    <t>365540142744348</t>
  </si>
  <si>
    <t>363888252043153</t>
  </si>
  <si>
    <t>363879055001347</t>
  </si>
  <si>
    <t>365514975378647</t>
  </si>
  <si>
    <t>363881244864173</t>
  </si>
  <si>
    <t>365504786419237</t>
  </si>
  <si>
    <t>363859678167247</t>
  </si>
  <si>
    <t>363900024122645</t>
  </si>
  <si>
    <t>365483392822645</t>
  </si>
  <si>
    <t>365527537378868</t>
  </si>
  <si>
    <t>363830886573837</t>
  </si>
  <si>
    <t>365546906102376</t>
  </si>
  <si>
    <t>365543507963883</t>
  </si>
  <si>
    <t>365520738899385</t>
  </si>
  <si>
    <t>365504935806908</t>
  </si>
  <si>
    <t>365524323106908</t>
  </si>
  <si>
    <t>365527910444431</t>
  </si>
  <si>
    <t>365499948427550</t>
  </si>
  <si>
    <t>363872616316861</t>
  </si>
  <si>
    <t>365429597505755</t>
  </si>
  <si>
    <t>363842825827032</t>
  </si>
  <si>
    <t>365429591659021</t>
  </si>
  <si>
    <t>363831435984126</t>
  </si>
  <si>
    <t>365457933682901</t>
  </si>
  <si>
    <t>365446747449661</t>
  </si>
  <si>
    <t>363833011111277</t>
  </si>
  <si>
    <t>365421168397310</t>
  </si>
  <si>
    <t>365374388610208</t>
  </si>
  <si>
    <t>365436320775204</t>
  </si>
  <si>
    <t>363696883718853</t>
  </si>
  <si>
    <t>363758227940431</t>
  </si>
  <si>
    <t>365374537362836</t>
  </si>
  <si>
    <t>363751823174333</t>
  </si>
  <si>
    <t>365313373566554</t>
  </si>
  <si>
    <t>365407114600831</t>
  </si>
  <si>
    <t>365326133828178</t>
  </si>
  <si>
    <t>363692028856626</t>
  </si>
  <si>
    <t>363667625540414</t>
  </si>
  <si>
    <t>363689218643218</t>
  </si>
  <si>
    <t>363659044463883</t>
  </si>
  <si>
    <t>363643280678869</t>
  </si>
  <si>
    <t>363703408912293</t>
  </si>
  <si>
    <t>365298944473837</t>
  </si>
  <si>
    <t>365282136284558</t>
  </si>
  <si>
    <t>365243545289749</t>
  </si>
  <si>
    <t>365275732623287</t>
  </si>
  <si>
    <t>363612039459682</t>
  </si>
  <si>
    <t>363603281354512</t>
  </si>
  <si>
    <t>365257323539227</t>
  </si>
  <si>
    <t>365266723203290</t>
  </si>
  <si>
    <t>363631015124551</t>
  </si>
  <si>
    <t>365199551297310</t>
  </si>
  <si>
    <t>363570454497310</t>
  </si>
  <si>
    <t>365197141730633</t>
  </si>
  <si>
    <t>365199537106210</t>
  </si>
  <si>
    <t>365211304709110</t>
  </si>
  <si>
    <t>365173164801431</t>
  </si>
  <si>
    <t>365170159924589</t>
  </si>
  <si>
    <t>365174153021212</t>
  </si>
  <si>
    <t>363539660708193</t>
  </si>
  <si>
    <t>365175932067399</t>
  </si>
  <si>
    <t>365162358110521</t>
  </si>
  <si>
    <t>365152570243443</t>
  </si>
  <si>
    <t>365147164762471</t>
  </si>
  <si>
    <t>365130185056051</t>
  </si>
  <si>
    <t>363514481493026</t>
  </si>
  <si>
    <t>365169113684126</t>
  </si>
  <si>
    <t>365149945399385</t>
  </si>
  <si>
    <t>363544804599385</t>
  </si>
  <si>
    <t>365162521384126</t>
  </si>
  <si>
    <t>363517061784126</t>
  </si>
  <si>
    <t>363511674599385</t>
  </si>
  <si>
    <t>363519448965957</t>
  </si>
  <si>
    <t>363507870665984</t>
  </si>
  <si>
    <t>363523608358878</t>
  </si>
  <si>
    <t>365130755118186</t>
  </si>
  <si>
    <t>363482497574195</t>
  </si>
  <si>
    <t>363479499125073</t>
  </si>
  <si>
    <t>363487289348522</t>
  </si>
  <si>
    <t>365126144774192</t>
  </si>
  <si>
    <t>363493060175250</t>
  </si>
  <si>
    <t>363481853614061</t>
  </si>
  <si>
    <t>363479061426813</t>
  </si>
  <si>
    <t>365112311385629</t>
  </si>
  <si>
    <t>365103315758399</t>
  </si>
  <si>
    <t>365069970254921</t>
  </si>
  <si>
    <t>365090520481578</t>
  </si>
  <si>
    <t>363451049264043</t>
  </si>
  <si>
    <t>365079730650122</t>
  </si>
  <si>
    <t>365022783057369</t>
  </si>
  <si>
    <t>365039143931052</t>
  </si>
  <si>
    <t>365028764352578</t>
  </si>
  <si>
    <t>365037328097542</t>
  </si>
  <si>
    <t>364998755366385</t>
  </si>
  <si>
    <t>363389218580893</t>
  </si>
  <si>
    <t>363376037630163</t>
  </si>
  <si>
    <t>364970790641753</t>
  </si>
  <si>
    <t>363346874673039</t>
  </si>
  <si>
    <t>364992322893993</t>
  </si>
  <si>
    <t>363335689738188</t>
  </si>
  <si>
    <t>363360024168046</t>
  </si>
  <si>
    <t>363325899874333</t>
  </si>
  <si>
    <t>363367203754847</t>
  </si>
  <si>
    <t>363355012018126</t>
  </si>
  <si>
    <t>364954365106781</t>
  </si>
  <si>
    <t>363330643876749</t>
  </si>
  <si>
    <t>363341812872194</t>
  </si>
  <si>
    <t>364954164363443</t>
  </si>
  <si>
    <t>363326231447018</t>
  </si>
  <si>
    <t>363304677232780</t>
  </si>
  <si>
    <t>364938772256934</t>
  </si>
  <si>
    <t>363318836110208</t>
  </si>
  <si>
    <t>364951326702535</t>
  </si>
  <si>
    <t>363276699526771</t>
  </si>
  <si>
    <t>364915570585306</t>
  </si>
  <si>
    <t>363284671047031</t>
  </si>
  <si>
    <t>364925152070673</t>
  </si>
  <si>
    <t>364929537948987</t>
  </si>
  <si>
    <t>364942305152402</t>
  </si>
  <si>
    <t>363286236065990</t>
  </si>
  <si>
    <t>363295821032363</t>
  </si>
  <si>
    <t>363249481747157</t>
  </si>
  <si>
    <t>363260438203533</t>
  </si>
  <si>
    <t>364890147100439</t>
  </si>
  <si>
    <t>363260620697372</t>
  </si>
  <si>
    <t>364872359077614</t>
  </si>
  <si>
    <t>363264602504703</t>
  </si>
  <si>
    <t>363250832177202</t>
  </si>
  <si>
    <t>364873550256836</t>
  </si>
  <si>
    <t>363248442344155</t>
  </si>
  <si>
    <t>363253017697372</t>
  </si>
  <si>
    <t>363227845955912</t>
  </si>
  <si>
    <t>364869716707840</t>
  </si>
  <si>
    <t>363225240121774</t>
  </si>
  <si>
    <t>364855952540926</t>
  </si>
  <si>
    <t>364843559002039</t>
  </si>
  <si>
    <t>363203280138638</t>
  </si>
  <si>
    <t>363232608772208</t>
  </si>
  <si>
    <t>363198689574139</t>
  </si>
  <si>
    <t>363202880574079</t>
  </si>
  <si>
    <t>364856712618271</t>
  </si>
  <si>
    <t>363198053950055</t>
  </si>
  <si>
    <t>364809984160846</t>
  </si>
  <si>
    <t>363198663234699</t>
  </si>
  <si>
    <t>364822560179891</t>
  </si>
  <si>
    <t>364838317674790</t>
  </si>
  <si>
    <t>364793184547896</t>
  </si>
  <si>
    <t>363185067077563</t>
  </si>
  <si>
    <t>364813751277563</t>
  </si>
  <si>
    <t>363205211765661</t>
  </si>
  <si>
    <t>364831311789025</t>
  </si>
  <si>
    <t>364797353725484</t>
  </si>
  <si>
    <t>364795553033683</t>
  </si>
  <si>
    <t>364814515267752</t>
  </si>
  <si>
    <t>363192802967752</t>
  </si>
  <si>
    <t>363165685320504</t>
  </si>
  <si>
    <t>363173227632671</t>
  </si>
  <si>
    <t>364775779904300</t>
  </si>
  <si>
    <t>363146874178101</t>
  </si>
  <si>
    <t>364776150575584</t>
  </si>
  <si>
    <t>364750395989932</t>
  </si>
  <si>
    <t>363155444964293</t>
  </si>
  <si>
    <t>364754175702158</t>
  </si>
  <si>
    <t>364752173524098</t>
  </si>
  <si>
    <t>364758965562498</t>
  </si>
  <si>
    <t>363143650616627</t>
  </si>
  <si>
    <t>364762758190165</t>
  </si>
  <si>
    <t>363159810424114</t>
  </si>
  <si>
    <t>363143639356928</t>
  </si>
  <si>
    <t>364755745180268</t>
  </si>
  <si>
    <t>363098097726943</t>
  </si>
  <si>
    <t>364774304371374</t>
  </si>
  <si>
    <t>363125006724259</t>
  </si>
  <si>
    <t>364703388320387</t>
  </si>
  <si>
    <t>363101856421193</t>
  </si>
  <si>
    <t>364714552599228</t>
  </si>
  <si>
    <t>363116006871374</t>
  </si>
  <si>
    <t>364694166736055</t>
  </si>
  <si>
    <t>364713716742043</t>
  </si>
  <si>
    <t>363082054974713</t>
  </si>
  <si>
    <t>364711500681780</t>
  </si>
  <si>
    <t>363082027481780</t>
  </si>
  <si>
    <t>364677380013336</t>
  </si>
  <si>
    <t>364661175618915</t>
  </si>
  <si>
    <t>364654395440903</t>
  </si>
  <si>
    <t>364693724096684</t>
  </si>
  <si>
    <t>363073448212085</t>
  </si>
  <si>
    <t>364653760942484</t>
  </si>
  <si>
    <t>364683916715587</t>
  </si>
  <si>
    <t>364688909217124</t>
  </si>
  <si>
    <t>364613595238338</t>
  </si>
  <si>
    <t>364645528756092</t>
  </si>
  <si>
    <t>364640139838631</t>
  </si>
  <si>
    <t>364632757271677</t>
  </si>
  <si>
    <t>364645509165160</t>
  </si>
  <si>
    <t>363018442006990</t>
  </si>
  <si>
    <t>363009235495068</t>
  </si>
  <si>
    <t>364592198960332</t>
  </si>
  <si>
    <t>364574395007021</t>
  </si>
  <si>
    <t>364602518615840</t>
  </si>
  <si>
    <t>364570355378642</t>
  </si>
  <si>
    <t>362957272217122</t>
  </si>
  <si>
    <t>364560367246235</t>
  </si>
  <si>
    <t>362969445531028</t>
  </si>
  <si>
    <t>364592711192825</t>
  </si>
  <si>
    <t>364567729352117</t>
  </si>
  <si>
    <t>364554796311631</t>
  </si>
  <si>
    <t>362954639492653</t>
  </si>
  <si>
    <t>362954440506250</t>
  </si>
  <si>
    <t>364547396794356</t>
  </si>
  <si>
    <t>364585300959296</t>
  </si>
  <si>
    <t>364531994374961</t>
  </si>
  <si>
    <t>364542796140383</t>
  </si>
  <si>
    <t>362925079408353</t>
  </si>
  <si>
    <t>364521197187126</t>
  </si>
  <si>
    <t>364545782674713</t>
  </si>
  <si>
    <t>364564104027554</t>
  </si>
  <si>
    <t>364500990969342</t>
  </si>
  <si>
    <t>364545979943462</t>
  </si>
  <si>
    <t>362958200312919</t>
  </si>
  <si>
    <t>364506778679870</t>
  </si>
  <si>
    <t>362927676207434</t>
  </si>
  <si>
    <t>364533749803370</t>
  </si>
  <si>
    <t>362915660198684</t>
  </si>
  <si>
    <t>362937254303370</t>
  </si>
  <si>
    <t>364551962540283</t>
  </si>
  <si>
    <t>364499168259515</t>
  </si>
  <si>
    <t>364532740711561</t>
  </si>
  <si>
    <t>362941437011561</t>
  </si>
  <si>
    <t>362928027187377</t>
  </si>
  <si>
    <t>362913843988675</t>
  </si>
  <si>
    <t>362912422256884</t>
  </si>
  <si>
    <t>362939214723308</t>
  </si>
  <si>
    <t>362892639718343</t>
  </si>
  <si>
    <t>362905854804749</t>
  </si>
  <si>
    <t>364509745602308</t>
  </si>
  <si>
    <t>364525700101929</t>
  </si>
  <si>
    <t>364510701759175</t>
  </si>
  <si>
    <t>364464397192413</t>
  </si>
  <si>
    <t>364490541795068</t>
  </si>
  <si>
    <t>362906210395068</t>
  </si>
  <si>
    <t>364469563598380</t>
  </si>
  <si>
    <t>364459173610623</t>
  </si>
  <si>
    <t>364474157311611</t>
  </si>
  <si>
    <t>364468558976520</t>
  </si>
  <si>
    <t>364464559928688</t>
  </si>
  <si>
    <t>364484343542960</t>
  </si>
  <si>
    <t>364451371584558</t>
  </si>
  <si>
    <t>362874442990522</t>
  </si>
  <si>
    <t>362876033290139</t>
  </si>
  <si>
    <t>362865036239311</t>
  </si>
  <si>
    <t>364459748679902</t>
  </si>
  <si>
    <t>364483301681108</t>
  </si>
  <si>
    <t>364441595153174</t>
  </si>
  <si>
    <t>364442571010182</t>
  </si>
  <si>
    <t>362859812133464</t>
  </si>
  <si>
    <t>364444957974392</t>
  </si>
  <si>
    <t>362841076613061</t>
  </si>
  <si>
    <t>364438163983580</t>
  </si>
  <si>
    <t>362852440980540</t>
  </si>
  <si>
    <t>362845841172759</t>
  </si>
  <si>
    <t>362792476525142</t>
  </si>
  <si>
    <t>364395177306250</t>
  </si>
  <si>
    <t>364381189549391</t>
  </si>
  <si>
    <t>362834628101920</t>
  </si>
  <si>
    <t>364432525375290</t>
  </si>
  <si>
    <t>364416797200154</t>
  </si>
  <si>
    <t>362824481611227</t>
  </si>
  <si>
    <t>364400122226681</t>
  </si>
  <si>
    <t>364405362836074</t>
  </si>
  <si>
    <t>364415540768831</t>
  </si>
  <si>
    <t>362807813864814</t>
  </si>
  <si>
    <t>364363188430363</t>
  </si>
  <si>
    <t>362769489143153</t>
  </si>
  <si>
    <t>362749265892266</t>
  </si>
  <si>
    <t>362676845142209</t>
  </si>
  <si>
    <t>364248593685148</t>
  </si>
  <si>
    <t>362617809044666</t>
  </si>
  <si>
    <t>364198502592825</t>
  </si>
  <si>
    <t>364188731161221</t>
  </si>
  <si>
    <t>362571611188021</t>
  </si>
  <si>
    <t>362565652274597</t>
  </si>
  <si>
    <t>364150968524978</t>
  </si>
  <si>
    <t>362554864049381</t>
  </si>
  <si>
    <t>364145334324571</t>
  </si>
  <si>
    <t>362550882290494</t>
  </si>
  <si>
    <t>364135374144595</t>
  </si>
  <si>
    <t>362549253488174</t>
  </si>
  <si>
    <t>362546861352949</t>
  </si>
  <si>
    <t>362539671786012</t>
  </si>
  <si>
    <t>364119393571538</t>
  </si>
  <si>
    <t>362542015144676</t>
  </si>
  <si>
    <t>364128312876756</t>
  </si>
  <si>
    <t>362538832105555</t>
  </si>
  <si>
    <t>362537249934685</t>
  </si>
  <si>
    <t>362533684263711</t>
  </si>
  <si>
    <t>362532275702234</t>
  </si>
  <si>
    <t>364107780960735</t>
  </si>
  <si>
    <t>362517096746052</t>
  </si>
  <si>
    <t>362516886606022</t>
  </si>
  <si>
    <t>362517469179157</t>
  </si>
  <si>
    <t>362521234344696</t>
  </si>
  <si>
    <t>364107542463594</t>
  </si>
  <si>
    <t>364096981485281</t>
  </si>
  <si>
    <t>364105328239175</t>
  </si>
  <si>
    <t>362516030449411</t>
  </si>
  <si>
    <t>362515244499591</t>
  </si>
  <si>
    <t>364096950986230</t>
  </si>
  <si>
    <t>364097545260430</t>
  </si>
  <si>
    <t>362512035148454</t>
  </si>
  <si>
    <t>364093358834077</t>
  </si>
  <si>
    <t>364088561217502</t>
  </si>
  <si>
    <t>364084987447625</t>
  </si>
  <si>
    <t>362499493772200</t>
  </si>
  <si>
    <t>362497886017087</t>
  </si>
  <si>
    <t>362501270935464</t>
  </si>
  <si>
    <t>364087345014882</t>
  </si>
  <si>
    <t>364088915707746</t>
  </si>
  <si>
    <t>364082162941719</t>
  </si>
  <si>
    <t>362497847827110</t>
  </si>
  <si>
    <t>362496620533293</t>
  </si>
  <si>
    <t>364072986174441</t>
  </si>
  <si>
    <t>362491439937971</t>
  </si>
  <si>
    <t>364072173634907</t>
  </si>
  <si>
    <t>362487839015186</t>
  </si>
  <si>
    <t>364062574594016</t>
  </si>
  <si>
    <t>364056598440253</t>
  </si>
  <si>
    <t>362478258816083</t>
  </si>
  <si>
    <t>362481827068877</t>
  </si>
  <si>
    <t>364056388095840</t>
  </si>
  <si>
    <t>362473873382582</t>
  </si>
  <si>
    <t>364054726401448</t>
  </si>
  <si>
    <t>364053510437393</t>
  </si>
  <si>
    <t>364048146860800</t>
  </si>
  <si>
    <t>364039196577720</t>
  </si>
  <si>
    <t>31 Aug 2022 23:43</t>
  </si>
  <si>
    <t>31 Aug 2022 18:58</t>
  </si>
  <si>
    <t>31 Aug 2022 18:19</t>
  </si>
  <si>
    <t>31 Aug 2022 17:27</t>
  </si>
  <si>
    <t>31 Aug 2022 16:35</t>
  </si>
  <si>
    <t>31 Aug 2022 11:19</t>
  </si>
  <si>
    <t>31 Aug 2022 10:51</t>
  </si>
  <si>
    <t>31 Aug 2022 09:08</t>
  </si>
  <si>
    <t>31 Aug 2022 09:01</t>
  </si>
  <si>
    <t>31 Aug 2022 08:24</t>
  </si>
  <si>
    <t>31 Aug 2022 08:02</t>
  </si>
  <si>
    <t>31 Aug 2022 07:25</t>
  </si>
  <si>
    <t>31 Aug 2022 07:24</t>
  </si>
  <si>
    <t>31 Aug 2022 05:51</t>
  </si>
  <si>
    <t>31 Aug 2022 03:47</t>
  </si>
  <si>
    <t>31 Aug 2022 02:08</t>
  </si>
  <si>
    <t>31 Aug 2022 01:17</t>
  </si>
  <si>
    <t>31 Aug 2022 00:40</t>
  </si>
  <si>
    <t>31 Aug 2022 00:14</t>
  </si>
  <si>
    <t>30 Aug 2022 23:50</t>
  </si>
  <si>
    <t>30 Aug 2022 23:40</t>
  </si>
  <si>
    <t>30 Aug 2022 23:23</t>
  </si>
  <si>
    <t>30 Aug 2022 22:45</t>
  </si>
  <si>
    <t>30 Aug 2022 22:17</t>
  </si>
  <si>
    <t>30 Aug 2022 22:07</t>
  </si>
  <si>
    <t>30 Aug 2022 22:04</t>
  </si>
  <si>
    <t>30 Aug 2022 21:54</t>
  </si>
  <si>
    <t>30 Aug 2022 20:10</t>
  </si>
  <si>
    <t>30 Aug 2022 18:46</t>
  </si>
  <si>
    <t>30 Aug 2022 18:06</t>
  </si>
  <si>
    <t>30 Aug 2022 18:05</t>
  </si>
  <si>
    <t>30 Aug 2022 17:20</t>
  </si>
  <si>
    <t>30 Aug 2022 17:15</t>
  </si>
  <si>
    <t>30 Aug 2022 16:24</t>
  </si>
  <si>
    <t>30 Aug 2022 15:33</t>
  </si>
  <si>
    <t>30 Aug 2022 14:59</t>
  </si>
  <si>
    <t>30 Aug 2022 14:48</t>
  </si>
  <si>
    <t>30 Aug 2022 14:47</t>
  </si>
  <si>
    <t>30 Aug 2022 14:27</t>
  </si>
  <si>
    <t>30 Aug 2022 13:21</t>
  </si>
  <si>
    <t>30 Aug 2022 13:14</t>
  </si>
  <si>
    <t>30 Aug 2022 12:45</t>
  </si>
  <si>
    <t>30 Aug 2022 12:39</t>
  </si>
  <si>
    <t>30 Aug 2022 12:15</t>
  </si>
  <si>
    <t>30 Aug 2022 08:44</t>
  </si>
  <si>
    <t>30 Aug 2022 08:42</t>
  </si>
  <si>
    <t>30 Aug 2022 08:14</t>
  </si>
  <si>
    <t>30 Aug 2022 08:07</t>
  </si>
  <si>
    <t>30 Aug 2022 07:42</t>
  </si>
  <si>
    <t>30 Aug 2022 04:32</t>
  </si>
  <si>
    <t>30 Aug 2022 02:16</t>
  </si>
  <si>
    <t>30 Aug 2022 02:12</t>
  </si>
  <si>
    <t>30 Aug 2022 01:01</t>
  </si>
  <si>
    <t>30 Aug 2022 00:40</t>
  </si>
  <si>
    <t>30 Aug 2022 00:37</t>
  </si>
  <si>
    <t>30 Aug 2022 00:32</t>
  </si>
  <si>
    <t>30 Aug 2022 00:24</t>
  </si>
  <si>
    <t>29 Aug 2022 23:09</t>
  </si>
  <si>
    <t>29 Aug 2022 22:24</t>
  </si>
  <si>
    <t>29 Aug 2022 21:19</t>
  </si>
  <si>
    <t>29 Aug 2022 21:09</t>
  </si>
  <si>
    <t>29 Aug 2022 20:59</t>
  </si>
  <si>
    <t>29 Aug 2022 20:56</t>
  </si>
  <si>
    <t>29 Aug 2022 19:59</t>
  </si>
  <si>
    <t>29 Aug 2022 17:49</t>
  </si>
  <si>
    <t>29 Aug 2022 17:40</t>
  </si>
  <si>
    <t>29 Aug 2022 17:24</t>
  </si>
  <si>
    <t>29 Aug 2022 17:21</t>
  </si>
  <si>
    <t>29 Aug 2022 16:52</t>
  </si>
  <si>
    <t>29 Aug 2022 16:43</t>
  </si>
  <si>
    <t>29 Aug 2022 16:03</t>
  </si>
  <si>
    <t>29 Aug 2022 15:43</t>
  </si>
  <si>
    <t>29 Aug 2022 15:26</t>
  </si>
  <si>
    <t>29 Aug 2022 15:11</t>
  </si>
  <si>
    <t>29 Aug 2022 14:55</t>
  </si>
  <si>
    <t>29 Aug 2022 14:35</t>
  </si>
  <si>
    <t>29 Aug 2022 14:33</t>
  </si>
  <si>
    <t>29 Aug 2022 13:42</t>
  </si>
  <si>
    <t>29 Aug 2022 13:32</t>
  </si>
  <si>
    <t>29 Aug 2022 12:38</t>
  </si>
  <si>
    <t>29 Aug 2022 12:37</t>
  </si>
  <si>
    <t>29 Aug 2022 12:21</t>
  </si>
  <si>
    <t>29 Aug 2022 12:16</t>
  </si>
  <si>
    <t>29 Aug 2022 11:27</t>
  </si>
  <si>
    <t>29 Aug 2022 11:18</t>
  </si>
  <si>
    <t>29 Aug 2022 11:11</t>
  </si>
  <si>
    <t>29 Aug 2022 11:08</t>
  </si>
  <si>
    <t>29 Aug 2022 10:03</t>
  </si>
  <si>
    <t>29 Aug 2022 09:26</t>
  </si>
  <si>
    <t>29 Aug 2022 08:58</t>
  </si>
  <si>
    <t>29 Aug 2022 07:39</t>
  </si>
  <si>
    <t>29 Aug 2022 05:46</t>
  </si>
  <si>
    <t>29 Aug 2022 04:40</t>
  </si>
  <si>
    <t>29 Aug 2022 01:02</t>
  </si>
  <si>
    <t>29 Aug 2022 00:21</t>
  </si>
  <si>
    <t>29 Aug 2022 00:17</t>
  </si>
  <si>
    <t>28 Aug 2022 23:33</t>
  </si>
  <si>
    <t>28 Aug 2022 22:57</t>
  </si>
  <si>
    <t>28 Aug 2022 22:31</t>
  </si>
  <si>
    <t>28 Aug 2022 22:29</t>
  </si>
  <si>
    <t>28 Aug 2022 22:18</t>
  </si>
  <si>
    <t>28 Aug 2022 22:15</t>
  </si>
  <si>
    <t>28 Aug 2022 21:30</t>
  </si>
  <si>
    <t>28 Aug 2022 21:08</t>
  </si>
  <si>
    <t>28 Aug 2022 20:13</t>
  </si>
  <si>
    <t>28 Aug 2022 20:06</t>
  </si>
  <si>
    <t>28 Aug 2022 19:13</t>
  </si>
  <si>
    <t>28 Aug 2022 19:09</t>
  </si>
  <si>
    <t>28 Aug 2022 18:19</t>
  </si>
  <si>
    <t>28 Aug 2022 17:17</t>
  </si>
  <si>
    <t>28 Aug 2022 16:56</t>
  </si>
  <si>
    <t>28 Aug 2022 16:54</t>
  </si>
  <si>
    <t>28 Aug 2022 16:39</t>
  </si>
  <si>
    <t>28 Aug 2022 15:23</t>
  </si>
  <si>
    <t>28 Aug 2022 15:18</t>
  </si>
  <si>
    <t>28 Aug 2022 14:45</t>
  </si>
  <si>
    <t>28 Aug 2022 14:35</t>
  </si>
  <si>
    <t>28 Aug 2022 14:14</t>
  </si>
  <si>
    <t>28 Aug 2022 13:07</t>
  </si>
  <si>
    <t>28 Aug 2022 12:56</t>
  </si>
  <si>
    <t>28 Aug 2022 12:27</t>
  </si>
  <si>
    <t>28 Aug 2022 12:22</t>
  </si>
  <si>
    <t>28 Aug 2022 12:14</t>
  </si>
  <si>
    <t>28 Aug 2022 12:09</t>
  </si>
  <si>
    <t>28 Aug 2022 11:44</t>
  </si>
  <si>
    <t>28 Aug 2022 10:51</t>
  </si>
  <si>
    <t>28 Aug 2022 10:05</t>
  </si>
  <si>
    <t>28 Aug 2022 08:40</t>
  </si>
  <si>
    <t>28 Aug 2022 07:24</t>
  </si>
  <si>
    <t>28 Aug 2022 06:42</t>
  </si>
  <si>
    <t>28 Aug 2022 06:40</t>
  </si>
  <si>
    <t>28 Aug 2022 00:27</t>
  </si>
  <si>
    <t>27 Aug 2022 23:59</t>
  </si>
  <si>
    <t>27 Aug 2022 23:49</t>
  </si>
  <si>
    <t>27 Aug 2022 23:48</t>
  </si>
  <si>
    <t>27 Aug 2022 23:45</t>
  </si>
  <si>
    <t>27 Aug 2022 23:26</t>
  </si>
  <si>
    <t>27 Aug 2022 22:22</t>
  </si>
  <si>
    <t>27 Aug 2022 22:10</t>
  </si>
  <si>
    <t>27 Aug 2022 21:53</t>
  </si>
  <si>
    <t>27 Aug 2022 21:44</t>
  </si>
  <si>
    <t>27 Aug 2022 21:23</t>
  </si>
  <si>
    <t>27 Aug 2022 20:01</t>
  </si>
  <si>
    <t>27 Aug 2022 19:27</t>
  </si>
  <si>
    <t>27 Aug 2022 19:22</t>
  </si>
  <si>
    <t>27 Aug 2022 19:03</t>
  </si>
  <si>
    <t>27 Aug 2022 18:52</t>
  </si>
  <si>
    <t>27 Aug 2022 17:57</t>
  </si>
  <si>
    <t>27 Aug 2022 17:41</t>
  </si>
  <si>
    <t>27 Aug 2022 17:14</t>
  </si>
  <si>
    <t>27 Aug 2022 16:42</t>
  </si>
  <si>
    <t>27 Aug 2022 16:31</t>
  </si>
  <si>
    <t>27 Aug 2022 15:55</t>
  </si>
  <si>
    <t>27 Aug 2022 15:26</t>
  </si>
  <si>
    <t>27 Aug 2022 15:08</t>
  </si>
  <si>
    <t>27 Aug 2022 14:55</t>
  </si>
  <si>
    <t>27 Aug 2022 14:39</t>
  </si>
  <si>
    <t>27 Aug 2022 14:34</t>
  </si>
  <si>
    <t>27 Aug 2022 14:28</t>
  </si>
  <si>
    <t>27 Aug 2022 14:14</t>
  </si>
  <si>
    <t>27 Aug 2022 14:07</t>
  </si>
  <si>
    <t>27 Aug 2022 14:04</t>
  </si>
  <si>
    <t>27 Aug 2022 13:59</t>
  </si>
  <si>
    <t>27 Aug 2022 13:52</t>
  </si>
  <si>
    <t>27 Aug 2022 13:42</t>
  </si>
  <si>
    <t>27 Aug 2022 13:32</t>
  </si>
  <si>
    <t>27 Aug 2022 13:24</t>
  </si>
  <si>
    <t>27 Aug 2022 13:20</t>
  </si>
  <si>
    <t>27 Aug 2022 13:19</t>
  </si>
  <si>
    <t>27 Aug 2022 12:56</t>
  </si>
  <si>
    <t>27 Aug 2022 12:54</t>
  </si>
  <si>
    <t>27 Aug 2022 12:53</t>
  </si>
  <si>
    <t>27 Aug 2022 12:42</t>
  </si>
  <si>
    <t>27 Aug 2022 12:28</t>
  </si>
  <si>
    <t>27 Aug 2022 12:23</t>
  </si>
  <si>
    <t>27 Aug 2022 12:22</t>
  </si>
  <si>
    <t>27 Aug 2022 12:19</t>
  </si>
  <si>
    <t>27 Aug 2022 12:16</t>
  </si>
  <si>
    <t>27 Aug 2022 12:14</t>
  </si>
  <si>
    <t>27 Aug 2022 12:06</t>
  </si>
  <si>
    <t>27 Aug 2022 12:04</t>
  </si>
  <si>
    <t>27 Aug 2022 12:03</t>
  </si>
  <si>
    <t>27 Aug 2022 12:02</t>
  </si>
  <si>
    <t>27 Aug 2022 12:01</t>
  </si>
  <si>
    <t>27 Aug 2022 12:00</t>
  </si>
  <si>
    <t>27 Aug 2022 11:40</t>
  </si>
  <si>
    <t>27 Aug 2022 11:30</t>
  </si>
  <si>
    <t>27 Aug 2022 11:11</t>
  </si>
  <si>
    <t>27 Aug 2022 10:59</t>
  </si>
  <si>
    <t>27 Aug 2022 10:46</t>
  </si>
  <si>
    <t>27 Aug 2022 10:45</t>
  </si>
  <si>
    <t>27 Aug 2022 10:22</t>
  </si>
  <si>
    <t>27 Aug 2022 09:55</t>
  </si>
  <si>
    <t>27 Aug 2022 09:53</t>
  </si>
  <si>
    <t>27 Aug 2022 09:51</t>
  </si>
  <si>
    <t>27 Aug 2022 09:29</t>
  </si>
  <si>
    <t>27 Aug 2022 09:23</t>
  </si>
  <si>
    <t>27 Aug 2022 09:02</t>
  </si>
  <si>
    <t>27 Aug 2022 08:24</t>
  </si>
  <si>
    <t>27 Aug 2022 08:18</t>
  </si>
  <si>
    <t>27 Aug 2022 08:04</t>
  </si>
  <si>
    <t>27 Aug 2022 07:15</t>
  </si>
  <si>
    <t>27 Aug 2022 07:01</t>
  </si>
  <si>
    <t>27 Aug 2022 06:57</t>
  </si>
  <si>
    <t>27 Aug 2022 06:54</t>
  </si>
  <si>
    <t>27 Aug 2022 06:40</t>
  </si>
  <si>
    <t>27 Aug 2022 06:21</t>
  </si>
  <si>
    <t>27 Aug 2022 06:14</t>
  </si>
  <si>
    <t>27 Aug 2022 06:07</t>
  </si>
  <si>
    <t>27 Aug 2022 05:59</t>
  </si>
  <si>
    <t>27 Aug 2022 05:52</t>
  </si>
  <si>
    <t>27 Aug 2022 00:37</t>
  </si>
  <si>
    <t>27 Aug 2022 00:28</t>
  </si>
  <si>
    <t>27 Aug 2022 00:24</t>
  </si>
  <si>
    <t>27 Aug 2022 00:23</t>
  </si>
  <si>
    <t>26 Aug 2022 23:27</t>
  </si>
  <si>
    <t>26 Aug 2022 23:02</t>
  </si>
  <si>
    <t>26 Aug 2022 22:47</t>
  </si>
  <si>
    <t>26 Aug 2022 22:28</t>
  </si>
  <si>
    <t>26 Aug 2022 22:24</t>
  </si>
  <si>
    <t>26 Aug 2022 22:16</t>
  </si>
  <si>
    <t>26 Aug 2022 21:32</t>
  </si>
  <si>
    <t>26 Aug 2022 21:10</t>
  </si>
  <si>
    <t>26 Aug 2022 21:05</t>
  </si>
  <si>
    <t>26 Aug 2022 20:43</t>
  </si>
  <si>
    <t>26 Aug 2022 20:19</t>
  </si>
  <si>
    <t>26 Aug 2022 19:47</t>
  </si>
  <si>
    <t>26 Aug 2022 18:47</t>
  </si>
  <si>
    <t>26 Aug 2022 18:16</t>
  </si>
  <si>
    <t>26 Aug 2022 16:53</t>
  </si>
  <si>
    <t>26 Aug 2022 16:26</t>
  </si>
  <si>
    <t>26 Aug 2022 15:57</t>
  </si>
  <si>
    <t>26 Aug 2022 15:33</t>
  </si>
  <si>
    <t>26 Aug 2022 15:27</t>
  </si>
  <si>
    <t>26 Aug 2022 15:21</t>
  </si>
  <si>
    <t>26 Aug 2022 15:10</t>
  </si>
  <si>
    <t>26 Aug 2022 15:07</t>
  </si>
  <si>
    <t>26 Aug 2022 15:04</t>
  </si>
  <si>
    <t>26 Aug 2022 14:57</t>
  </si>
  <si>
    <t>26 Aug 2022 14:54</t>
  </si>
  <si>
    <t>26 Aug 2022 14:24</t>
  </si>
  <si>
    <t>26 Aug 2022 14:17</t>
  </si>
  <si>
    <t>26 Aug 2022 14:09</t>
  </si>
  <si>
    <t>26 Aug 2022 13:49</t>
  </si>
  <si>
    <t>26 Aug 2022 13:28</t>
  </si>
  <si>
    <t>26 Aug 2022 12:46</t>
  </si>
  <si>
    <t>26 Aug 2022 12:43</t>
  </si>
  <si>
    <t>26 Aug 2022 12:39</t>
  </si>
  <si>
    <t>26 Aug 2022 12:33</t>
  </si>
  <si>
    <t>26 Aug 2022 12:23</t>
  </si>
  <si>
    <t>26 Aug 2022 12:09</t>
  </si>
  <si>
    <t>26 Aug 2022 12:02</t>
  </si>
  <si>
    <t>26 Aug 2022 11:59</t>
  </si>
  <si>
    <t>26 Aug 2022 11:54</t>
  </si>
  <si>
    <t>26 Aug 2022 11:42</t>
  </si>
  <si>
    <t>26 Aug 2022 11:00</t>
  </si>
  <si>
    <t>26 Aug 2022 10:59</t>
  </si>
  <si>
    <t>26 Aug 2022 10:49</t>
  </si>
  <si>
    <t>26 Aug 2022 10:38</t>
  </si>
  <si>
    <t>26 Aug 2022 10:31</t>
  </si>
  <si>
    <t>26 Aug 2022 10:09</t>
  </si>
  <si>
    <t>26 Aug 2022 10:04</t>
  </si>
  <si>
    <t>26 Aug 2022 10:01</t>
  </si>
  <si>
    <t>26 Aug 2022 09:51</t>
  </si>
  <si>
    <t>26 Aug 2022 09:46</t>
  </si>
  <si>
    <t>26 Aug 2022 09:36</t>
  </si>
  <si>
    <t>26 Aug 2022 09:30</t>
  </si>
  <si>
    <t>26 Aug 2022 09:24</t>
  </si>
  <si>
    <t>26 Aug 2022 09:13</t>
  </si>
  <si>
    <t>26 Aug 2022 09:09</t>
  </si>
  <si>
    <t>26 Aug 2022 08:55</t>
  </si>
  <si>
    <t>26 Aug 2022 08:07</t>
  </si>
  <si>
    <t>26 Aug 2022 06:50</t>
  </si>
  <si>
    <t>26 Aug 2022 06:42</t>
  </si>
  <si>
    <t>26 Aug 2022 06:25</t>
  </si>
  <si>
    <t>26 Aug 2022 02:16</t>
  </si>
  <si>
    <t>26 Aug 2022 02:13</t>
  </si>
  <si>
    <t>26 Aug 2022 01:59</t>
  </si>
  <si>
    <t>26 Aug 2022 01:24</t>
  </si>
  <si>
    <t>25 Aug 2022 22:53</t>
  </si>
  <si>
    <t>25 Aug 2022 20:02</t>
  </si>
  <si>
    <t>25 Aug 2022 19:49</t>
  </si>
  <si>
    <t>25 Aug 2022 19:37</t>
  </si>
  <si>
    <t>25 Aug 2022 18:13</t>
  </si>
  <si>
    <t>25 Aug 2022 18:00</t>
  </si>
  <si>
    <t>25 Aug 2022 17:26</t>
  </si>
  <si>
    <t>25 Aug 2022 17:24</t>
  </si>
  <si>
    <t>25 Aug 2022 16:33</t>
  </si>
  <si>
    <t>25 Aug 2022 16:01</t>
  </si>
  <si>
    <t>25 Aug 2022 14:59</t>
  </si>
  <si>
    <t>25 Aug 2022 14:15</t>
  </si>
  <si>
    <t>25 Aug 2022 14:10</t>
  </si>
  <si>
    <t>25 Aug 2022 14:00</t>
  </si>
  <si>
    <t>25 Aug 2022 13:59</t>
  </si>
  <si>
    <t>25 Aug 2022 12:19</t>
  </si>
  <si>
    <t>25 Aug 2022 11:17</t>
  </si>
  <si>
    <t>25 Aug 2022 11:11</t>
  </si>
  <si>
    <t>25 Aug 2022 10:35</t>
  </si>
  <si>
    <t>25 Aug 2022 10:30</t>
  </si>
  <si>
    <t>25 Aug 2022 10:24</t>
  </si>
  <si>
    <t>25 Aug 2022 10:14</t>
  </si>
  <si>
    <t>25 Aug 2022 10:13</t>
  </si>
  <si>
    <t>25 Aug 2022 10:03</t>
  </si>
  <si>
    <t>25 Aug 2022 09:50</t>
  </si>
  <si>
    <t>25 Aug 2022 09:45</t>
  </si>
  <si>
    <t>25 Aug 2022 09:34</t>
  </si>
  <si>
    <t>25 Aug 2022 09:21</t>
  </si>
  <si>
    <t>25 Aug 2022 08:14</t>
  </si>
  <si>
    <t>25 Aug 2022 07:58</t>
  </si>
  <si>
    <t>25 Aug 2022 07:24</t>
  </si>
  <si>
    <t>25 Aug 2022 07:18</t>
  </si>
  <si>
    <t>25 Aug 2022 07:04</t>
  </si>
  <si>
    <t>25 Aug 2022 07:01</t>
  </si>
  <si>
    <t>25 Aug 2022 06:42</t>
  </si>
  <si>
    <t>25 Aug 2022 06:05</t>
  </si>
  <si>
    <t>25 Aug 2022 05:52</t>
  </si>
  <si>
    <t>25 Aug 2022 05:48</t>
  </si>
  <si>
    <t>25 Aug 2022 05:16</t>
  </si>
  <si>
    <t>25 Aug 2022 03:26</t>
  </si>
  <si>
    <t>25 Aug 2022 03:16</t>
  </si>
  <si>
    <t>25 Aug 2022 02:00</t>
  </si>
  <si>
    <t>25 Aug 2022 01:54</t>
  </si>
  <si>
    <t>25 Aug 2022 01:24</t>
  </si>
  <si>
    <t>25 Aug 2022 01:04</t>
  </si>
  <si>
    <t>25 Aug 2022 00:44</t>
  </si>
  <si>
    <t>25 Aug 2022 00:41</t>
  </si>
  <si>
    <t>25 Aug 2022 00:35</t>
  </si>
  <si>
    <t>25 Aug 2022 00:26</t>
  </si>
  <si>
    <t>25 Aug 2022 00:20</t>
  </si>
  <si>
    <t>25 Aug 2022 00:16</t>
  </si>
  <si>
    <t>25 Aug 2022 00:15</t>
  </si>
  <si>
    <t>25 Aug 2022 00:12</t>
  </si>
  <si>
    <t>25 Aug 2022 00:03</t>
  </si>
  <si>
    <t>24 Aug 2022 21:18</t>
  </si>
  <si>
    <t>24 Aug 2022 15:29</t>
  </si>
  <si>
    <t>24 Aug 2022 15:28</t>
  </si>
  <si>
    <t>24 Aug 2022 13:25</t>
  </si>
  <si>
    <t>24 Aug 2022 12:40</t>
  </si>
  <si>
    <t>24 Aug 2022 11:20</t>
  </si>
  <si>
    <t>24 Aug 2022 10:35</t>
  </si>
  <si>
    <t>24 Aug 2022 09:16</t>
  </si>
  <si>
    <t>24 Aug 2022 00:55</t>
  </si>
  <si>
    <t>24 Aug 2022 00:38</t>
  </si>
  <si>
    <t>23 Aug 2022 23:48</t>
  </si>
  <si>
    <t>23 Aug 2022 23:44</t>
  </si>
  <si>
    <t>23 Aug 2022 23:07</t>
  </si>
  <si>
    <t>23 Aug 2022 20:20</t>
  </si>
  <si>
    <t>23 Aug 2022 19:56</t>
  </si>
  <si>
    <t>23 Aug 2022 19:26</t>
  </si>
  <si>
    <t>23 Aug 2022 15:56</t>
  </si>
  <si>
    <t>23 Aug 2022 14:13</t>
  </si>
  <si>
    <t>23 Aug 2022 12:55</t>
  </si>
  <si>
    <t>23 Aug 2022 12:19</t>
  </si>
  <si>
    <t>23 Aug 2022 11:28</t>
  </si>
  <si>
    <t>23 Aug 2022 10:55</t>
  </si>
  <si>
    <t>23 Aug 2022 10:54</t>
  </si>
  <si>
    <t>23 Aug 2022 09:39</t>
  </si>
  <si>
    <t>23 Aug 2022 08:33</t>
  </si>
  <si>
    <t>23 Aug 2022 07:21</t>
  </si>
  <si>
    <t>23 Aug 2022 06:23</t>
  </si>
  <si>
    <t>23 Aug 2022 05:37</t>
  </si>
  <si>
    <t>23 Aug 2022 02:18</t>
  </si>
  <si>
    <t>23 Aug 2022 01:33</t>
  </si>
  <si>
    <t>23 Aug 2022 01:32</t>
  </si>
  <si>
    <t>23 Aug 2022 00:47</t>
  </si>
  <si>
    <t>23 Aug 2022 00:38</t>
  </si>
  <si>
    <t>23 Aug 2022 00:36</t>
  </si>
  <si>
    <t>23 Aug 2022 00:02</t>
  </si>
  <si>
    <t>22 Aug 2022 23:45</t>
  </si>
  <si>
    <t>22 Aug 2022 23:26</t>
  </si>
  <si>
    <t>22 Aug 2022 23:10</t>
  </si>
  <si>
    <t>22 Aug 2022 23:06</t>
  </si>
  <si>
    <t>22 Aug 2022 23:04</t>
  </si>
  <si>
    <t>22 Aug 2022 22:59</t>
  </si>
  <si>
    <t>22 Aug 2022 22:52</t>
  </si>
  <si>
    <t>22 Aug 2022 22:28</t>
  </si>
  <si>
    <t>22 Aug 2022 21:58</t>
  </si>
  <si>
    <t>22 Aug 2022 21:38</t>
  </si>
  <si>
    <t>22 Aug 2022 21:36</t>
  </si>
  <si>
    <t>22 Aug 2022 21:15</t>
  </si>
  <si>
    <t>22 Aug 2022 20:33</t>
  </si>
  <si>
    <t>22 Aug 2022 19:01</t>
  </si>
  <si>
    <t>22 Aug 2022 17:46</t>
  </si>
  <si>
    <t>22 Aug 2022 16:59</t>
  </si>
  <si>
    <t>22 Aug 2022 16:57</t>
  </si>
  <si>
    <t>22 Aug 2022 16:39</t>
  </si>
  <si>
    <t>22 Aug 2022 16:38</t>
  </si>
  <si>
    <t>22 Aug 2022 15:03</t>
  </si>
  <si>
    <t>22 Aug 2022 14:48</t>
  </si>
  <si>
    <t>22 Aug 2022 14:22</t>
  </si>
  <si>
    <t>22 Aug 2022 14:21</t>
  </si>
  <si>
    <t>22 Aug 2022 14:20</t>
  </si>
  <si>
    <t>22 Aug 2022 14:10</t>
  </si>
  <si>
    <t>22 Aug 2022 14:09</t>
  </si>
  <si>
    <t>22 Aug 2022 14:04</t>
  </si>
  <si>
    <t>22 Aug 2022 13:40</t>
  </si>
  <si>
    <t>22 Aug 2022 13:27</t>
  </si>
  <si>
    <t>22 Aug 2022 12:42</t>
  </si>
  <si>
    <t>22 Aug 2022 12:13</t>
  </si>
  <si>
    <t>22 Aug 2022 12:08</t>
  </si>
  <si>
    <t>22 Aug 2022 12:02</t>
  </si>
  <si>
    <t>22 Aug 2022 11:30</t>
  </si>
  <si>
    <t>22 Aug 2022 11:07</t>
  </si>
  <si>
    <t>22 Aug 2022 10:57</t>
  </si>
  <si>
    <t>22 Aug 2022 10:49</t>
  </si>
  <si>
    <t>22 Aug 2022 10:09</t>
  </si>
  <si>
    <t>22 Aug 2022 10:03</t>
  </si>
  <si>
    <t>22 Aug 2022 09:46</t>
  </si>
  <si>
    <t>22 Aug 2022 09:36</t>
  </si>
  <si>
    <t>22 Aug 2022 09:33</t>
  </si>
  <si>
    <t>22 Aug 2022 09:22</t>
  </si>
  <si>
    <t>22 Aug 2022 09:15</t>
  </si>
  <si>
    <t>22 Aug 2022 09:09</t>
  </si>
  <si>
    <t>22 Aug 2022 08:55</t>
  </si>
  <si>
    <t>22 Aug 2022 08:09</t>
  </si>
  <si>
    <t>22 Aug 2022 07:33</t>
  </si>
  <si>
    <t>22 Aug 2022 07:25</t>
  </si>
  <si>
    <t>22 Aug 2022 07:06</t>
  </si>
  <si>
    <t>22 Aug 2022 06:50</t>
  </si>
  <si>
    <t>22 Aug 2022 06:11</t>
  </si>
  <si>
    <t>22 Aug 2022 06:09</t>
  </si>
  <si>
    <t>22 Aug 2022 06:07</t>
  </si>
  <si>
    <t>22 Aug 2022 05:40</t>
  </si>
  <si>
    <t>22 Aug 2022 01:32</t>
  </si>
  <si>
    <t>22 Aug 2022 01:29</t>
  </si>
  <si>
    <t>22 Aug 2022 01:14</t>
  </si>
  <si>
    <t>22 Aug 2022 00:41</t>
  </si>
  <si>
    <t>21 Aug 2022 23:51</t>
  </si>
  <si>
    <t>21 Aug 2022 23:37</t>
  </si>
  <si>
    <t>21 Aug 2022 23:33</t>
  </si>
  <si>
    <t>21 Aug 2022 22:56</t>
  </si>
  <si>
    <t>21 Aug 2022 22:45</t>
  </si>
  <si>
    <t>21 Aug 2022 22:39</t>
  </si>
  <si>
    <t>21 Aug 2022 22:10</t>
  </si>
  <si>
    <t>21 Aug 2022 21:37</t>
  </si>
  <si>
    <t>21 Aug 2022 21:05</t>
  </si>
  <si>
    <t>21 Aug 2022 20:52</t>
  </si>
  <si>
    <t>21 Aug 2022 20:49</t>
  </si>
  <si>
    <t>21 Aug 2022 19:44</t>
  </si>
  <si>
    <t>21 Aug 2022 17:53</t>
  </si>
  <si>
    <t>21 Aug 2022 17:48</t>
  </si>
  <si>
    <t>21 Aug 2022 17:18</t>
  </si>
  <si>
    <t>21 Aug 2022 16:39</t>
  </si>
  <si>
    <t>21 Aug 2022 16:29</t>
  </si>
  <si>
    <t>21 Aug 2022 16:19</t>
  </si>
  <si>
    <t>21 Aug 2022 16:09</t>
  </si>
  <si>
    <t>21 Aug 2022 15:40</t>
  </si>
  <si>
    <t>21 Aug 2022 15:13</t>
  </si>
  <si>
    <t>21 Aug 2022 15:10</t>
  </si>
  <si>
    <t>21 Aug 2022 14:19</t>
  </si>
  <si>
    <t>21 Aug 2022 14:09</t>
  </si>
  <si>
    <t>21 Aug 2022 13:45</t>
  </si>
  <si>
    <t>21 Aug 2022 13:43</t>
  </si>
  <si>
    <t>21 Aug 2022 13:42</t>
  </si>
  <si>
    <t>21 Aug 2022 13:35</t>
  </si>
  <si>
    <t>21 Aug 2022 13:25</t>
  </si>
  <si>
    <t>21 Aug 2022 12:51</t>
  </si>
  <si>
    <t>21 Aug 2022 11:42</t>
  </si>
  <si>
    <t>21 Aug 2022 11:09</t>
  </si>
  <si>
    <t>21 Aug 2022 10:49</t>
  </si>
  <si>
    <t>21 Aug 2022 10:19</t>
  </si>
  <si>
    <t>21 Aug 2022 09:04</t>
  </si>
  <si>
    <t>21 Aug 2022 07:59</t>
  </si>
  <si>
    <t>21 Aug 2022 06:28</t>
  </si>
  <si>
    <t>21 Aug 2022 06:10</t>
  </si>
  <si>
    <t>21 Aug 2022 03:52</t>
  </si>
  <si>
    <t>20 Aug 2022 23:22</t>
  </si>
  <si>
    <t>20 Aug 2022 22:45</t>
  </si>
  <si>
    <t>20 Aug 2022 22:40</t>
  </si>
  <si>
    <t>20 Aug 2022 22:30</t>
  </si>
  <si>
    <t>20 Aug 2022 22:08</t>
  </si>
  <si>
    <t>20 Aug 2022 22:01</t>
  </si>
  <si>
    <t>20 Aug 2022 22:00</t>
  </si>
  <si>
    <t>20 Aug 2022 21:57</t>
  </si>
  <si>
    <t>20 Aug 2022 20:26</t>
  </si>
  <si>
    <t>20 Aug 2022 20:21</t>
  </si>
  <si>
    <t>20 Aug 2022 20:18</t>
  </si>
  <si>
    <t>20 Aug 2022 20:02</t>
  </si>
  <si>
    <t>20 Aug 2022 19:56</t>
  </si>
  <si>
    <t>20 Aug 2022 19:23</t>
  </si>
  <si>
    <t>20 Aug 2022 19:21</t>
  </si>
  <si>
    <t>20 Aug 2022 17:47</t>
  </si>
  <si>
    <t>20 Aug 2022 16:20</t>
  </si>
  <si>
    <t>20 Aug 2022 15:42</t>
  </si>
  <si>
    <t>20 Aug 2022 15:38</t>
  </si>
  <si>
    <t>20 Aug 2022 15:27</t>
  </si>
  <si>
    <t>20 Aug 2022 15:20</t>
  </si>
  <si>
    <t>20 Aug 2022 15:18</t>
  </si>
  <si>
    <t>20 Aug 2022 15:12</t>
  </si>
  <si>
    <t>20 Aug 2022 15:01</t>
  </si>
  <si>
    <t>20 Aug 2022 14:59</t>
  </si>
  <si>
    <t>20 Aug 2022 14:58</t>
  </si>
  <si>
    <t>20 Aug 2022 14:42</t>
  </si>
  <si>
    <t>20 Aug 2022 14:09</t>
  </si>
  <si>
    <t>20 Aug 2022 14:05</t>
  </si>
  <si>
    <t>20 Aug 2022 13:33</t>
  </si>
  <si>
    <t>20 Aug 2022 13:17</t>
  </si>
  <si>
    <t>20 Aug 2022 13:08</t>
  </si>
  <si>
    <t>20 Aug 2022 13:03</t>
  </si>
  <si>
    <t>20 Aug 2022 12:59</t>
  </si>
  <si>
    <t>20 Aug 2022 12:24</t>
  </si>
  <si>
    <t>20 Aug 2022 12:14</t>
  </si>
  <si>
    <t>20 Aug 2022 12:02</t>
  </si>
  <si>
    <t>20 Aug 2022 10:51</t>
  </si>
  <si>
    <t>20 Aug 2022 10:15</t>
  </si>
  <si>
    <t>20 Aug 2022 10:04</t>
  </si>
  <si>
    <t>20 Aug 2022 10:00</t>
  </si>
  <si>
    <t>20 Aug 2022 09:58</t>
  </si>
  <si>
    <t>20 Aug 2022 09:55</t>
  </si>
  <si>
    <t>20 Aug 2022 09:42</t>
  </si>
  <si>
    <t>20 Aug 2022 09:11</t>
  </si>
  <si>
    <t>20 Aug 2022 08:54</t>
  </si>
  <si>
    <t>20 Aug 2022 08:37</t>
  </si>
  <si>
    <t>20 Aug 2022 08:26</t>
  </si>
  <si>
    <t>20 Aug 2022 08:03</t>
  </si>
  <si>
    <t>20 Aug 2022 06:58</t>
  </si>
  <si>
    <t>20 Aug 2022 06:41</t>
  </si>
  <si>
    <t>20 Aug 2022 06:17</t>
  </si>
  <si>
    <t>20 Aug 2022 06:15</t>
  </si>
  <si>
    <t>20 Aug 2022 06:13</t>
  </si>
  <si>
    <t>20 Aug 2022 06:01</t>
  </si>
  <si>
    <t>20 Aug 2022 05:28</t>
  </si>
  <si>
    <t>20 Aug 2022 02:43</t>
  </si>
  <si>
    <t>20 Aug 2022 00:51</t>
  </si>
  <si>
    <t>19 Aug 2022 23:19</t>
  </si>
  <si>
    <t>19 Aug 2022 22:43</t>
  </si>
  <si>
    <t>19 Aug 2022 21:07</t>
  </si>
  <si>
    <t>19 Aug 2022 20:33</t>
  </si>
  <si>
    <t>19 Aug 2022 20:00</t>
  </si>
  <si>
    <t>19 Aug 2022 18:36</t>
  </si>
  <si>
    <t>19 Aug 2022 17:26</t>
  </si>
  <si>
    <t>19 Aug 2022 13:54</t>
  </si>
  <si>
    <t>19 Aug 2022 13:06</t>
  </si>
  <si>
    <t>19 Aug 2022 07:58</t>
  </si>
  <si>
    <t>19 Aug 2022 06:08</t>
  </si>
  <si>
    <t>19 Aug 2022 00:25</t>
  </si>
  <si>
    <t>18 Aug 2022 23:55</t>
  </si>
  <si>
    <t>18 Aug 2022 23:34</t>
  </si>
  <si>
    <t>18 Aug 2022 23:26</t>
  </si>
  <si>
    <t>18 Aug 2022 22:43</t>
  </si>
  <si>
    <t>18 Aug 2022 22:15</t>
  </si>
  <si>
    <t>18 Aug 2022 22:05</t>
  </si>
  <si>
    <t>18 Aug 2022 20:52</t>
  </si>
  <si>
    <t>18 Aug 2022 19:37</t>
  </si>
  <si>
    <t>18 Aug 2022 18:39</t>
  </si>
  <si>
    <t>18 Aug 2022 18:24</t>
  </si>
  <si>
    <t>18 Aug 2022 16:10</t>
  </si>
  <si>
    <t>18 Aug 2022 15:40</t>
  </si>
  <si>
    <t>18 Aug 2022 15:37</t>
  </si>
  <si>
    <t>18 Aug 2022 14:06</t>
  </si>
  <si>
    <t>18 Aug 2022 14:03</t>
  </si>
  <si>
    <t>18 Aug 2022 12:18</t>
  </si>
  <si>
    <t>18 Aug 2022 11:59</t>
  </si>
  <si>
    <t>18 Aug 2022 11:35</t>
  </si>
  <si>
    <t>18 Aug 2022 10:28</t>
  </si>
  <si>
    <t>18 Aug 2022 09:50</t>
  </si>
  <si>
    <t>18 Aug 2022 08:56</t>
  </si>
  <si>
    <t>18 Aug 2022 08:05</t>
  </si>
  <si>
    <t>18 Aug 2022 08:04</t>
  </si>
  <si>
    <t>18 Aug 2022 07:24</t>
  </si>
  <si>
    <t>18 Aug 2022 06:50</t>
  </si>
  <si>
    <t>18 Aug 2022 05:25</t>
  </si>
  <si>
    <t>18 Aug 2022 01:18</t>
  </si>
  <si>
    <t>18 Aug 2022 00:36</t>
  </si>
  <si>
    <t>18 Aug 2022 00:28</t>
  </si>
  <si>
    <t>17 Aug 2022 23:51</t>
  </si>
  <si>
    <t>17 Aug 2022 23:30</t>
  </si>
  <si>
    <t>17 Aug 2022 23:26</t>
  </si>
  <si>
    <t>17 Aug 2022 23:19</t>
  </si>
  <si>
    <t>17 Aug 2022 22:24</t>
  </si>
  <si>
    <t>17 Aug 2022 21:52</t>
  </si>
  <si>
    <t>17 Aug 2022 21:35</t>
  </si>
  <si>
    <t>17 Aug 2022 21:17</t>
  </si>
  <si>
    <t>17 Aug 2022 21:06</t>
  </si>
  <si>
    <t>17 Aug 2022 20:58</t>
  </si>
  <si>
    <t>17 Aug 2022 20:56</t>
  </si>
  <si>
    <t>17 Aug 2022 20:47</t>
  </si>
  <si>
    <t>17 Aug 2022 20:35</t>
  </si>
  <si>
    <t>17 Aug 2022 20:23</t>
  </si>
  <si>
    <t>17 Aug 2022 20:15</t>
  </si>
  <si>
    <t>17 Aug 2022 19:14</t>
  </si>
  <si>
    <t>17 Aug 2022 18:46</t>
  </si>
  <si>
    <t>17 Aug 2022 17:40</t>
  </si>
  <si>
    <t>17 Aug 2022 17:26</t>
  </si>
  <si>
    <t>17 Aug 2022 15:59</t>
  </si>
  <si>
    <t>17 Aug 2022 15:56</t>
  </si>
  <si>
    <t>17 Aug 2022 15:34</t>
  </si>
  <si>
    <t>17 Aug 2022 15:00</t>
  </si>
  <si>
    <t>17 Aug 2022 14:47</t>
  </si>
  <si>
    <t>17 Aug 2022 14:38</t>
  </si>
  <si>
    <t>17 Aug 2022 14:35</t>
  </si>
  <si>
    <t>17 Aug 2022 14:16</t>
  </si>
  <si>
    <t>17 Aug 2022 14:09</t>
  </si>
  <si>
    <t>17 Aug 2022 12:39</t>
  </si>
  <si>
    <t>17 Aug 2022 12:29</t>
  </si>
  <si>
    <t>17 Aug 2022 12:28</t>
  </si>
  <si>
    <t>17 Aug 2022 12:25</t>
  </si>
  <si>
    <t>17 Aug 2022 12:20</t>
  </si>
  <si>
    <t>17 Aug 2022 12:15</t>
  </si>
  <si>
    <t>17 Aug 2022 12:07</t>
  </si>
  <si>
    <t>17 Aug 2022 12:03</t>
  </si>
  <si>
    <t>17 Aug 2022 11:43</t>
  </si>
  <si>
    <t>17 Aug 2022 11:38</t>
  </si>
  <si>
    <t>17 Aug 2022 11:37</t>
  </si>
  <si>
    <t>17 Aug 2022 11:02</t>
  </si>
  <si>
    <t>17 Aug 2022 10:57</t>
  </si>
  <si>
    <t>17 Aug 2022 10:56</t>
  </si>
  <si>
    <t>17 Aug 2022 10:28</t>
  </si>
  <si>
    <t>17 Aug 2022 10:26</t>
  </si>
  <si>
    <t>17 Aug 2022 10:25</t>
  </si>
  <si>
    <t>17 Aug 2022 10:17</t>
  </si>
  <si>
    <t>17 Aug 2022 10:01</t>
  </si>
  <si>
    <t>17 Aug 2022 09:30</t>
  </si>
  <si>
    <t>17 Aug 2022 09:21</t>
  </si>
  <si>
    <t>17 Aug 2022 09:09</t>
  </si>
  <si>
    <t>17 Aug 2022 09:04</t>
  </si>
  <si>
    <t>17 Aug 2022 08:58</t>
  </si>
  <si>
    <t>17 Aug 2022 08:54</t>
  </si>
  <si>
    <t>17 Aug 2022 08:40</t>
  </si>
  <si>
    <t>17 Aug 2022 07:52</t>
  </si>
  <si>
    <t>17 Aug 2022 07:31</t>
  </si>
  <si>
    <t>17 Aug 2022 07:29</t>
  </si>
  <si>
    <t>17 Aug 2022 07:08</t>
  </si>
  <si>
    <t>17 Aug 2022 06:49</t>
  </si>
  <si>
    <t>17 Aug 2022 06:40</t>
  </si>
  <si>
    <t>17 Aug 2022 05:44</t>
  </si>
  <si>
    <t>17 Aug 2022 01:13</t>
  </si>
  <si>
    <t>17 Aug 2022 00:33</t>
  </si>
  <si>
    <t>17 Aug 2022 00:30</t>
  </si>
  <si>
    <t>17 Aug 2022 00:29</t>
  </si>
  <si>
    <t>17 Aug 2022 00:24</t>
  </si>
  <si>
    <t>17 Aug 2022 00:23</t>
  </si>
  <si>
    <t>17 Aug 2022 00:11</t>
  </si>
  <si>
    <t>16 Aug 2022 23:52</t>
  </si>
  <si>
    <t>16 Aug 2022 23:42</t>
  </si>
  <si>
    <t>16 Aug 2022 23:35</t>
  </si>
  <si>
    <t>16 Aug 2022 23:34</t>
  </si>
  <si>
    <t>16 Aug 2022 23:30</t>
  </si>
  <si>
    <t>16 Aug 2022 23:19</t>
  </si>
  <si>
    <t>16 Aug 2022 23:01</t>
  </si>
  <si>
    <t>16 Aug 2022 22:30</t>
  </si>
  <si>
    <t>16 Aug 2022 22:18</t>
  </si>
  <si>
    <t>16 Aug 2022 22:02</t>
  </si>
  <si>
    <t>16 Aug 2022 21:52</t>
  </si>
  <si>
    <t>16 Aug 2022 21:38</t>
  </si>
  <si>
    <t>16 Aug 2022 21:34</t>
  </si>
  <si>
    <t>16 Aug 2022 21:30</t>
  </si>
  <si>
    <t>16 Aug 2022 21:19</t>
  </si>
  <si>
    <t>16 Aug 2022 21:06</t>
  </si>
  <si>
    <t>16 Aug 2022 20:46</t>
  </si>
  <si>
    <t>16 Aug 2022 20:13</t>
  </si>
  <si>
    <t>16 Aug 2022 19:38</t>
  </si>
  <si>
    <t>16 Aug 2022 19:31</t>
  </si>
  <si>
    <t>16 Aug 2022 19:26</t>
  </si>
  <si>
    <t>16 Aug 2022 18:53</t>
  </si>
  <si>
    <t>16 Aug 2022 18:39</t>
  </si>
  <si>
    <t>16 Aug 2022 18:37</t>
  </si>
  <si>
    <t>16 Aug 2022 18:14</t>
  </si>
  <si>
    <t>16 Aug 2022 17:20</t>
  </si>
  <si>
    <t>16 Aug 2022 17:17</t>
  </si>
  <si>
    <t>16 Aug 2022 17:02</t>
  </si>
  <si>
    <t>16 Aug 2022 16:55</t>
  </si>
  <si>
    <t>16 Aug 2022 16:47</t>
  </si>
  <si>
    <t>16 Aug 2022 16:26</t>
  </si>
  <si>
    <t>16 Aug 2022 16:19</t>
  </si>
  <si>
    <t>16 Aug 2022 16:18</t>
  </si>
  <si>
    <t>16 Aug 2022 16:13</t>
  </si>
  <si>
    <t>16 Aug 2022 16:06</t>
  </si>
  <si>
    <t>16 Aug 2022 15:26</t>
  </si>
  <si>
    <t>16 Aug 2022 15:14</t>
  </si>
  <si>
    <t>16 Aug 2022 15:04</t>
  </si>
  <si>
    <t>16 Aug 2022 14:51</t>
  </si>
  <si>
    <t>16 Aug 2022 14:46</t>
  </si>
  <si>
    <t>16 Aug 2022 14:30</t>
  </si>
  <si>
    <t>16 Aug 2022 14:22</t>
  </si>
  <si>
    <t>16 Aug 2022 14:20</t>
  </si>
  <si>
    <t>16 Aug 2022 14:15</t>
  </si>
  <si>
    <t>16 Aug 2022 13:57</t>
  </si>
  <si>
    <t>16 Aug 2022 13:27</t>
  </si>
  <si>
    <t>16 Aug 2022 13:14</t>
  </si>
  <si>
    <t>16 Aug 2022 12:57</t>
  </si>
  <si>
    <t>16 Aug 2022 12:44</t>
  </si>
  <si>
    <t>16 Aug 2022 12:33</t>
  </si>
  <si>
    <t>16 Aug 2022 12:29</t>
  </si>
  <si>
    <t>16 Aug 2022 12:27</t>
  </si>
  <si>
    <t>16 Aug 2022 12:19</t>
  </si>
  <si>
    <t>16 Aug 2022 12:06</t>
  </si>
  <si>
    <t>16 Aug 2022 12:05</t>
  </si>
  <si>
    <t>16 Aug 2022 12:04</t>
  </si>
  <si>
    <t>16 Aug 2022 11:57</t>
  </si>
  <si>
    <t>16 Aug 2022 11:40</t>
  </si>
  <si>
    <t>16 Aug 2022 11:19</t>
  </si>
  <si>
    <t>16 Aug 2022 11:03</t>
  </si>
  <si>
    <t>16 Aug 2022 10:47</t>
  </si>
  <si>
    <t>16 Aug 2022 08:15</t>
  </si>
  <si>
    <t>16 Aug 2022 02:24</t>
  </si>
  <si>
    <t>16 Aug 2022 01:48</t>
  </si>
  <si>
    <t>16 Aug 2022 01:22</t>
  </si>
  <si>
    <t>16 Aug 2022 00:59</t>
  </si>
  <si>
    <t>16 Aug 2022 00:56</t>
  </si>
  <si>
    <t>15 Aug 2022 23:28</t>
  </si>
  <si>
    <t>15 Aug 2022 22:41</t>
  </si>
  <si>
    <t>15 Aug 2022 22:28</t>
  </si>
  <si>
    <t>15 Aug 2022 22:10</t>
  </si>
  <si>
    <t>15 Aug 2022 22:06</t>
  </si>
  <si>
    <t>15 Aug 2022 21:52</t>
  </si>
  <si>
    <t>15 Aug 2022 21:51</t>
  </si>
  <si>
    <t>15 Aug 2022 21:21</t>
  </si>
  <si>
    <t>15 Aug 2022 21:14</t>
  </si>
  <si>
    <t>15 Aug 2022 21:05</t>
  </si>
  <si>
    <t>15 Aug 2022 20:54</t>
  </si>
  <si>
    <t>15 Aug 2022 20:36</t>
  </si>
  <si>
    <t>15 Aug 2022 20:25</t>
  </si>
  <si>
    <t>15 Aug 2022 20:23</t>
  </si>
  <si>
    <t>15 Aug 2022 20:01</t>
  </si>
  <si>
    <t>15 Aug 2022 19:35</t>
  </si>
  <si>
    <t>15 Aug 2022 19:28</t>
  </si>
  <si>
    <t>15 Aug 2022 19:26</t>
  </si>
  <si>
    <t>15 Aug 2022 19:15</t>
  </si>
  <si>
    <t>15 Aug 2022 18:38</t>
  </si>
  <si>
    <t>15 Aug 2022 18:11</t>
  </si>
  <si>
    <t>15 Aug 2022 18:06</t>
  </si>
  <si>
    <t>15 Aug 2022 18:03</t>
  </si>
  <si>
    <t>15 Aug 2022 18:00</t>
  </si>
  <si>
    <t>15 Aug 2022 17:48</t>
  </si>
  <si>
    <t>15 Aug 2022 16:05</t>
  </si>
  <si>
    <t>15 Aug 2022 15:37</t>
  </si>
  <si>
    <t>15 Aug 2022 15:31</t>
  </si>
  <si>
    <t>15 Aug 2022 15:20</t>
  </si>
  <si>
    <t>15 Aug 2022 14:58</t>
  </si>
  <si>
    <t>15 Aug 2022 14:00</t>
  </si>
  <si>
    <t>15 Aug 2022 13:57</t>
  </si>
  <si>
    <t>15 Aug 2022 13:55</t>
  </si>
  <si>
    <t>15 Aug 2022 13:45</t>
  </si>
  <si>
    <t>15 Aug 2022 13:44</t>
  </si>
  <si>
    <t>15 Aug 2022 13:23</t>
  </si>
  <si>
    <t>15 Aug 2022 12:46</t>
  </si>
  <si>
    <t>15 Aug 2022 12:34</t>
  </si>
  <si>
    <t>15 Aug 2022 12:27</t>
  </si>
  <si>
    <t>15 Aug 2022 12:25</t>
  </si>
  <si>
    <t>15 Aug 2022 12:13</t>
  </si>
  <si>
    <t>15 Aug 2022 12:11</t>
  </si>
  <si>
    <t>15 Aug 2022 12:09</t>
  </si>
  <si>
    <t>15 Aug 2022 12:08</t>
  </si>
  <si>
    <t>15 Aug 2022 12:06</t>
  </si>
  <si>
    <t>15 Aug 2022 11:40</t>
  </si>
  <si>
    <t>15 Aug 2022 11:27</t>
  </si>
  <si>
    <t>15 Aug 2022 11:01</t>
  </si>
  <si>
    <t>15 Aug 2022 10:43</t>
  </si>
  <si>
    <t>15 Aug 2022 10:36</t>
  </si>
  <si>
    <t>15 Aug 2022 10:07</t>
  </si>
  <si>
    <t>15 Aug 2022 10:05</t>
  </si>
  <si>
    <t>15 Aug 2022 09:49</t>
  </si>
  <si>
    <t>15 Aug 2022 09:33</t>
  </si>
  <si>
    <t>15 Aug 2022 08:55</t>
  </si>
  <si>
    <t>15 Aug 2022 08:53</t>
  </si>
  <si>
    <t>15 Aug 2022 08:50</t>
  </si>
  <si>
    <t>15 Aug 2022 08:34</t>
  </si>
  <si>
    <t>15 Aug 2022 08:09</t>
  </si>
  <si>
    <t>15 Aug 2022 08:08</t>
  </si>
  <si>
    <t>15 Aug 2022 08:01</t>
  </si>
  <si>
    <t>15 Aug 2022 07:43</t>
  </si>
  <si>
    <t>15 Aug 2022 07:39</t>
  </si>
  <si>
    <t>15 Aug 2022 07:30</t>
  </si>
  <si>
    <t>15 Aug 2022 07:29</t>
  </si>
  <si>
    <t>15 Aug 2022 07:22</t>
  </si>
  <si>
    <t>15 Aug 2022 07:13</t>
  </si>
  <si>
    <t>15 Aug 2022 06:39</t>
  </si>
  <si>
    <t>15 Aug 2022 06:32</t>
  </si>
  <si>
    <t>15 Aug 2022 06:16</t>
  </si>
  <si>
    <t>15 Aug 2022 06:15</t>
  </si>
  <si>
    <t>15 Aug 2022 05:31</t>
  </si>
  <si>
    <t>15 Aug 2022 05:12</t>
  </si>
  <si>
    <t>15 Aug 2022 01:52</t>
  </si>
  <si>
    <t>15 Aug 2022 01:16</t>
  </si>
  <si>
    <t>15 Aug 2022 01:11</t>
  </si>
  <si>
    <t>15 Aug 2022 01:08</t>
  </si>
  <si>
    <t>15 Aug 2022 01:05</t>
  </si>
  <si>
    <t>15 Aug 2022 01:02</t>
  </si>
  <si>
    <t>15 Aug 2022 00:49</t>
  </si>
  <si>
    <t>15 Aug 2022 00:38</t>
  </si>
  <si>
    <t>15 Aug 2022 00:34</t>
  </si>
  <si>
    <t>15 Aug 2022 00:22</t>
  </si>
  <si>
    <t>15 Aug 2022 00:20</t>
  </si>
  <si>
    <t>15 Aug 2022 00:14</t>
  </si>
  <si>
    <t>15 Aug 2022 00:10</t>
  </si>
  <si>
    <t>14 Aug 2022 22:08</t>
  </si>
  <si>
    <t>14 Aug 2022 21:51</t>
  </si>
  <si>
    <t>14 Aug 2022 16:37</t>
  </si>
  <si>
    <t>14 Aug 2022 16:03</t>
  </si>
  <si>
    <t>14 Aug 2022 14:17</t>
  </si>
  <si>
    <t>14 Aug 2022 12:09</t>
  </si>
  <si>
    <t>14 Aug 2022 10:51</t>
  </si>
  <si>
    <t>14 Aug 2022 10:32</t>
  </si>
  <si>
    <t>14 Aug 2022 10:17</t>
  </si>
  <si>
    <t>14 Aug 2022 09:28</t>
  </si>
  <si>
    <t>14 Aug 2022 06:20</t>
  </si>
  <si>
    <t>13 Aug 2022 22:50</t>
  </si>
  <si>
    <t>13 Aug 2022 22:42</t>
  </si>
  <si>
    <t>13 Aug 2022 22:06</t>
  </si>
  <si>
    <t>13 Aug 2022 16:31</t>
  </si>
  <si>
    <t>13 Aug 2022 15:52</t>
  </si>
  <si>
    <t>13 Aug 2022 14:11</t>
  </si>
  <si>
    <t>13 Aug 2022 02:19</t>
  </si>
  <si>
    <t>13 Aug 2022 00:07</t>
  </si>
  <si>
    <t>12 Aug 2022 23:55</t>
  </si>
  <si>
    <t>12 Aug 2022 23:42</t>
  </si>
  <si>
    <t>12 Aug 2022 23:02</t>
  </si>
  <si>
    <t>12 Aug 2022 22:36</t>
  </si>
  <si>
    <t>12 Aug 2022 21:56</t>
  </si>
  <si>
    <t>12 Aug 2022 21:14</t>
  </si>
  <si>
    <t>12 Aug 2022 21:10</t>
  </si>
  <si>
    <t>12 Aug 2022 21:09</t>
  </si>
  <si>
    <t>12 Aug 2022 20:28</t>
  </si>
  <si>
    <t>12 Aug 2022 20:23</t>
  </si>
  <si>
    <t>12 Aug 2022 20:21</t>
  </si>
  <si>
    <t>12 Aug 2022 19:53</t>
  </si>
  <si>
    <t>12 Aug 2022 19:28</t>
  </si>
  <si>
    <t>12 Aug 2022 19:16</t>
  </si>
  <si>
    <t>12 Aug 2022 19:11</t>
  </si>
  <si>
    <t>12 Aug 2022 18:18</t>
  </si>
  <si>
    <t>12 Aug 2022 18:01</t>
  </si>
  <si>
    <t>12 Aug 2022 18:00</t>
  </si>
  <si>
    <t>12 Aug 2022 17:20</t>
  </si>
  <si>
    <t>12 Aug 2022 16:13</t>
  </si>
  <si>
    <t>12 Aug 2022 16:12</t>
  </si>
  <si>
    <t>12 Aug 2022 15:49</t>
  </si>
  <si>
    <t>12 Aug 2022 15:03</t>
  </si>
  <si>
    <t>12 Aug 2022 15:00</t>
  </si>
  <si>
    <t>12 Aug 2022 14:28</t>
  </si>
  <si>
    <t>12 Aug 2022 14:06</t>
  </si>
  <si>
    <t>12 Aug 2022 13:54</t>
  </si>
  <si>
    <t>12 Aug 2022 13:33</t>
  </si>
  <si>
    <t>12 Aug 2022 13:24</t>
  </si>
  <si>
    <t>12 Aug 2022 13:23</t>
  </si>
  <si>
    <t>12 Aug 2022 13:22</t>
  </si>
  <si>
    <t>12 Aug 2022 13:11</t>
  </si>
  <si>
    <t>12 Aug 2022 12:57</t>
  </si>
  <si>
    <t>12 Aug 2022 12:50</t>
  </si>
  <si>
    <t>12 Aug 2022 12:42</t>
  </si>
  <si>
    <t>12 Aug 2022 12:36</t>
  </si>
  <si>
    <t>12 Aug 2022 12:17</t>
  </si>
  <si>
    <t>12 Aug 2022 12:14</t>
  </si>
  <si>
    <t>12 Aug 2022 12:11</t>
  </si>
  <si>
    <t>12 Aug 2022 12:02</t>
  </si>
  <si>
    <t>12 Aug 2022 12:01</t>
  </si>
  <si>
    <t>12 Aug 2022 11:42</t>
  </si>
  <si>
    <t>12 Aug 2022 11:35</t>
  </si>
  <si>
    <t>12 Aug 2022 11:07</t>
  </si>
  <si>
    <t>12 Aug 2022 11:00</t>
  </si>
  <si>
    <t>12 Aug 2022 10:50</t>
  </si>
  <si>
    <t>12 Aug 2022 10:38</t>
  </si>
  <si>
    <t>12 Aug 2022 10:13</t>
  </si>
  <si>
    <t>12 Aug 2022 09:29</t>
  </si>
  <si>
    <t>12 Aug 2022 09:07</t>
  </si>
  <si>
    <t>12 Aug 2022 08:50</t>
  </si>
  <si>
    <t>12 Aug 2022 08:45</t>
  </si>
  <si>
    <t>12 Aug 2022 08:01</t>
  </si>
  <si>
    <t>12 Aug 2022 07:52</t>
  </si>
  <si>
    <t>12 Aug 2022 06:47</t>
  </si>
  <si>
    <t>12 Aug 2022 06:41</t>
  </si>
  <si>
    <t>12 Aug 2022 06:40</t>
  </si>
  <si>
    <t>12 Aug 2022 06:39</t>
  </si>
  <si>
    <t>12 Aug 2022 06:37</t>
  </si>
  <si>
    <t>12 Aug 2022 06:36</t>
  </si>
  <si>
    <t>12 Aug 2022 06:13</t>
  </si>
  <si>
    <t>12 Aug 2022 06:09</t>
  </si>
  <si>
    <t>12 Aug 2022 05:55</t>
  </si>
  <si>
    <t>12 Aug 2022 03:53</t>
  </si>
  <si>
    <t>12 Aug 2022 03:23</t>
  </si>
  <si>
    <t>12 Aug 2022 00:42</t>
  </si>
  <si>
    <t>12 Aug 2022 00:20</t>
  </si>
  <si>
    <t>11 Aug 2022 23:56</t>
  </si>
  <si>
    <t>11 Aug 2022 23:12</t>
  </si>
  <si>
    <t>11 Aug 2022 23:04</t>
  </si>
  <si>
    <t>11 Aug 2022 22:32</t>
  </si>
  <si>
    <t>11 Aug 2022 22:27</t>
  </si>
  <si>
    <t>11 Aug 2022 21:24</t>
  </si>
  <si>
    <t>11 Aug 2022 20:42</t>
  </si>
  <si>
    <t>11 Aug 2022 20:30</t>
  </si>
  <si>
    <t>11 Aug 2022 20:23</t>
  </si>
  <si>
    <t>11 Aug 2022 19:29</t>
  </si>
  <si>
    <t>11 Aug 2022 18:54</t>
  </si>
  <si>
    <t>11 Aug 2022 18:48</t>
  </si>
  <si>
    <t>11 Aug 2022 18:18</t>
  </si>
  <si>
    <t>11 Aug 2022 18:11</t>
  </si>
  <si>
    <t>11 Aug 2022 18:10</t>
  </si>
  <si>
    <t>11 Aug 2022 17:01</t>
  </si>
  <si>
    <t>11 Aug 2022 16:26</t>
  </si>
  <si>
    <t>11 Aug 2022 15:50</t>
  </si>
  <si>
    <t>11 Aug 2022 15:20</t>
  </si>
  <si>
    <t>11 Aug 2022 15:08</t>
  </si>
  <si>
    <t>11 Aug 2022 14:58</t>
  </si>
  <si>
    <t>11 Aug 2022 14:45</t>
  </si>
  <si>
    <t>11 Aug 2022 14:30</t>
  </si>
  <si>
    <t>11 Aug 2022 14:15</t>
  </si>
  <si>
    <t>11 Aug 2022 14:05</t>
  </si>
  <si>
    <t>11 Aug 2022 14:01</t>
  </si>
  <si>
    <t>11 Aug 2022 13:47</t>
  </si>
  <si>
    <t>11 Aug 2022 13:40</t>
  </si>
  <si>
    <t>11 Aug 2022 13:12</t>
  </si>
  <si>
    <t>11 Aug 2022 13:02</t>
  </si>
  <si>
    <t>11 Aug 2022 12:54</t>
  </si>
  <si>
    <t>11 Aug 2022 12:36</t>
  </si>
  <si>
    <t>11 Aug 2022 12:35</t>
  </si>
  <si>
    <t>11 Aug 2022 12:09</t>
  </si>
  <si>
    <t>11 Aug 2022 11:38</t>
  </si>
  <si>
    <t>11 Aug 2022 02:09</t>
  </si>
  <si>
    <t>11 Aug 2022 00:45</t>
  </si>
  <si>
    <t>10 Aug 2022 23:56</t>
  </si>
  <si>
    <t>10 Aug 2022 23:50</t>
  </si>
  <si>
    <t>10 Aug 2022 23:39</t>
  </si>
  <si>
    <t>10 Aug 2022 23:31</t>
  </si>
  <si>
    <t>10 Aug 2022 22:47</t>
  </si>
  <si>
    <t>10 Aug 2022 22:43</t>
  </si>
  <si>
    <t>10 Aug 2022 22:42</t>
  </si>
  <si>
    <t>10 Aug 2022 22:06</t>
  </si>
  <si>
    <t>10 Aug 2022 22:02</t>
  </si>
  <si>
    <t>10 Aug 2022 21:57</t>
  </si>
  <si>
    <t>10 Aug 2022 21:25</t>
  </si>
  <si>
    <t>10 Aug 2022 20:56</t>
  </si>
  <si>
    <t>10 Aug 2022 20:51</t>
  </si>
  <si>
    <t>10 Aug 2022 20:49</t>
  </si>
  <si>
    <t>10 Aug 2022 20:27</t>
  </si>
  <si>
    <t>10 Aug 2022 20:24</t>
  </si>
  <si>
    <t>10 Aug 2022 20:13</t>
  </si>
  <si>
    <t>10 Aug 2022 20:04</t>
  </si>
  <si>
    <t>10 Aug 2022 19:45</t>
  </si>
  <si>
    <t>10 Aug 2022 18:25</t>
  </si>
  <si>
    <t>10 Aug 2022 18:21</t>
  </si>
  <si>
    <t>10 Aug 2022 17:26</t>
  </si>
  <si>
    <t>10 Aug 2022 17:25</t>
  </si>
  <si>
    <t>10 Aug 2022 17:20</t>
  </si>
  <si>
    <t>10 Aug 2022 17:11</t>
  </si>
  <si>
    <t>10 Aug 2022 16:25</t>
  </si>
  <si>
    <t>10 Aug 2022 16:20</t>
  </si>
  <si>
    <t>10 Aug 2022 16:07</t>
  </si>
  <si>
    <t>10 Aug 2022 16:03</t>
  </si>
  <si>
    <t>10 Aug 2022 14:51</t>
  </si>
  <si>
    <t>10 Aug 2022 13:47</t>
  </si>
  <si>
    <t>10 Aug 2022 13:25</t>
  </si>
  <si>
    <t>10 Aug 2022 12:51</t>
  </si>
  <si>
    <t>10 Aug 2022 12:12</t>
  </si>
  <si>
    <t>10 Aug 2022 11:07</t>
  </si>
  <si>
    <t>10 Aug 2022 10:34</t>
  </si>
  <si>
    <t>10 Aug 2022 10:02</t>
  </si>
  <si>
    <t>10 Aug 2022 09:03</t>
  </si>
  <si>
    <t>10 Aug 2022 06:24</t>
  </si>
  <si>
    <t>10 Aug 2022 02:54</t>
  </si>
  <si>
    <t>09 Aug 2022 22:02</t>
  </si>
  <si>
    <t>09 Aug 2022 20:56</t>
  </si>
  <si>
    <t>09 Aug 2022 20:53</t>
  </si>
  <si>
    <t>09 Aug 2022 20:28</t>
  </si>
  <si>
    <t>09 Aug 2022 20:14</t>
  </si>
  <si>
    <t>09 Aug 2022 19:33</t>
  </si>
  <si>
    <t>09 Aug 2022 17:16</t>
  </si>
  <si>
    <t>09 Aug 2022 17:00</t>
  </si>
  <si>
    <t>09 Aug 2022 16:40</t>
  </si>
  <si>
    <t>09 Aug 2022 16:12</t>
  </si>
  <si>
    <t>09 Aug 2022 15:04</t>
  </si>
  <si>
    <t>09 Aug 2022 15:02</t>
  </si>
  <si>
    <t>09 Aug 2022 15:01</t>
  </si>
  <si>
    <t>09 Aug 2022 13:36</t>
  </si>
  <si>
    <t>09 Aug 2022 13:08</t>
  </si>
  <si>
    <t>09 Aug 2022 12:52</t>
  </si>
  <si>
    <t>09 Aug 2022 12:46</t>
  </si>
  <si>
    <t>09 Aug 2022 12:39</t>
  </si>
  <si>
    <t>09 Aug 2022 12:11</t>
  </si>
  <si>
    <t>09 Aug 2022 11:39</t>
  </si>
  <si>
    <t>09 Aug 2022 11:26</t>
  </si>
  <si>
    <t>09 Aug 2022 08:06</t>
  </si>
  <si>
    <t>09 Aug 2022 08:03</t>
  </si>
  <si>
    <t>09 Aug 2022 06:31</t>
  </si>
  <si>
    <t>09 Aug 2022 06:26</t>
  </si>
  <si>
    <t>09 Aug 2022 03:21</t>
  </si>
  <si>
    <t>08 Aug 2022 23:57</t>
  </si>
  <si>
    <t>08 Aug 2022 23:48</t>
  </si>
  <si>
    <t>08 Aug 2022 23:32</t>
  </si>
  <si>
    <t>08 Aug 2022 23:02</t>
  </si>
  <si>
    <t>08 Aug 2022 22:48</t>
  </si>
  <si>
    <t>08 Aug 2022 22:47</t>
  </si>
  <si>
    <t>08 Aug 2022 22:19</t>
  </si>
  <si>
    <t>08 Aug 2022 22:15</t>
  </si>
  <si>
    <t>08 Aug 2022 22:12</t>
  </si>
  <si>
    <t>08 Aug 2022 22:11</t>
  </si>
  <si>
    <t>08 Aug 2022 22:08</t>
  </si>
  <si>
    <t>08 Aug 2022 22:04</t>
  </si>
  <si>
    <t>08 Aug 2022 21:59</t>
  </si>
  <si>
    <t>08 Aug 2022 21:58</t>
  </si>
  <si>
    <t>08 Aug 2022 21:57</t>
  </si>
  <si>
    <t>08 Aug 2022 21:52</t>
  </si>
  <si>
    <t>08 Aug 2022 21:28</t>
  </si>
  <si>
    <t>08 Aug 2022 21:04</t>
  </si>
  <si>
    <t>08 Aug 2022 20:49</t>
  </si>
  <si>
    <t>08 Aug 2022 20:46</t>
  </si>
  <si>
    <t>08 Aug 2022 20:42</t>
  </si>
  <si>
    <t>08 Aug 2022 20:36</t>
  </si>
  <si>
    <t>08 Aug 2022 20:25</t>
  </si>
  <si>
    <t>08 Aug 2022 20:10</t>
  </si>
  <si>
    <t>08 Aug 2022 19:37</t>
  </si>
  <si>
    <t>08 Aug 2022 19:30</t>
  </si>
  <si>
    <t>08 Aug 2022 18:07</t>
  </si>
  <si>
    <t>08 Aug 2022 17:21</t>
  </si>
  <si>
    <t>08 Aug 2022 16:29</t>
  </si>
  <si>
    <t>08 Aug 2022 16:10</t>
  </si>
  <si>
    <t>08 Aug 2022 16:04</t>
  </si>
  <si>
    <t>08 Aug 2022 15:42</t>
  </si>
  <si>
    <t>08 Aug 2022 13:45</t>
  </si>
  <si>
    <t>08 Aug 2022 13:26</t>
  </si>
  <si>
    <t>08 Aug 2022 13:22</t>
  </si>
  <si>
    <t>08 Aug 2022 12:37</t>
  </si>
  <si>
    <t>08 Aug 2022 10:54</t>
  </si>
  <si>
    <t>08 Aug 2022 10:37</t>
  </si>
  <si>
    <t>08 Aug 2022 09:51</t>
  </si>
  <si>
    <t>08 Aug 2022 09:46</t>
  </si>
  <si>
    <t>08 Aug 2022 09:18</t>
  </si>
  <si>
    <t>08 Aug 2022 09:14</t>
  </si>
  <si>
    <t>08 Aug 2022 09:10</t>
  </si>
  <si>
    <t>08 Aug 2022 09:03</t>
  </si>
  <si>
    <t>08 Aug 2022 08:15</t>
  </si>
  <si>
    <t>08 Aug 2022 07:56</t>
  </si>
  <si>
    <t>08 Aug 2022 07:42</t>
  </si>
  <si>
    <t>08 Aug 2022 07:25</t>
  </si>
  <si>
    <t>08 Aug 2022 07:19</t>
  </si>
  <si>
    <t>08 Aug 2022 06:45</t>
  </si>
  <si>
    <t>08 Aug 2022 06:24</t>
  </si>
  <si>
    <t>08 Aug 2022 05:50</t>
  </si>
  <si>
    <t>08 Aug 2022 05:33</t>
  </si>
  <si>
    <t>08 Aug 2022 03:14</t>
  </si>
  <si>
    <t>08 Aug 2022 02:22</t>
  </si>
  <si>
    <t>08 Aug 2022 01:37</t>
  </si>
  <si>
    <t>08 Aug 2022 01:32</t>
  </si>
  <si>
    <t>08 Aug 2022 01:22</t>
  </si>
  <si>
    <t>08 Aug 2022 01:11</t>
  </si>
  <si>
    <t>08 Aug 2022 01:01</t>
  </si>
  <si>
    <t>08 Aug 2022 00:52</t>
  </si>
  <si>
    <t>08 Aug 2022 00:41</t>
  </si>
  <si>
    <t>08 Aug 2022 00:16</t>
  </si>
  <si>
    <t>08 Aug 2022 00:11</t>
  </si>
  <si>
    <t>08 Aug 2022 00:07</t>
  </si>
  <si>
    <t>08 Aug 2022 00:04</t>
  </si>
  <si>
    <t>08 Aug 2022 00:02</t>
  </si>
  <si>
    <t>07 Aug 2022 23:19</t>
  </si>
  <si>
    <t>07 Aug 2022 23:10</t>
  </si>
  <si>
    <t>07 Aug 2022 22:49</t>
  </si>
  <si>
    <t>07 Aug 2022 22:39</t>
  </si>
  <si>
    <t>07 Aug 2022 22:27</t>
  </si>
  <si>
    <t>07 Aug 2022 21:14</t>
  </si>
  <si>
    <t>07 Aug 2022 20:26</t>
  </si>
  <si>
    <t>07 Aug 2022 20:22</t>
  </si>
  <si>
    <t>07 Aug 2022 20:00</t>
  </si>
  <si>
    <t>07 Aug 2022 19:29</t>
  </si>
  <si>
    <t>07 Aug 2022 18:52</t>
  </si>
  <si>
    <t>07 Aug 2022 18:18</t>
  </si>
  <si>
    <t>07 Aug 2022 17:56</t>
  </si>
  <si>
    <t>07 Aug 2022 17:37</t>
  </si>
  <si>
    <t>07 Aug 2022 17:23</t>
  </si>
  <si>
    <t>07 Aug 2022 15:34</t>
  </si>
  <si>
    <t>07 Aug 2022 15:23</t>
  </si>
  <si>
    <t>07 Aug 2022 15:21</t>
  </si>
  <si>
    <t>07 Aug 2022 15:14</t>
  </si>
  <si>
    <t>07 Aug 2022 14:17</t>
  </si>
  <si>
    <t>07 Aug 2022 14:14</t>
  </si>
  <si>
    <t>07 Aug 2022 13:36</t>
  </si>
  <si>
    <t>07 Aug 2022 13:35</t>
  </si>
  <si>
    <t>07 Aug 2022 12:50</t>
  </si>
  <si>
    <t>07 Aug 2022 12:24</t>
  </si>
  <si>
    <t>07 Aug 2022 11:14</t>
  </si>
  <si>
    <t>07 Aug 2022 10:28</t>
  </si>
  <si>
    <t>07 Aug 2022 10:16</t>
  </si>
  <si>
    <t>07 Aug 2022 10:11</t>
  </si>
  <si>
    <t>07 Aug 2022 09:49</t>
  </si>
  <si>
    <t>07 Aug 2022 09:10</t>
  </si>
  <si>
    <t>07 Aug 2022 07:41</t>
  </si>
  <si>
    <t>07 Aug 2022 06:20</t>
  </si>
  <si>
    <t>07 Aug 2022 05:48</t>
  </si>
  <si>
    <t>07 Aug 2022 01:24</t>
  </si>
  <si>
    <t>07 Aug 2022 00:33</t>
  </si>
  <si>
    <t>07 Aug 2022 00:15</t>
  </si>
  <si>
    <t>06 Aug 2022 23:40</t>
  </si>
  <si>
    <t>06 Aug 2022 23:15</t>
  </si>
  <si>
    <t>06 Aug 2022 23:08</t>
  </si>
  <si>
    <t>06 Aug 2022 22:41</t>
  </si>
  <si>
    <t>06 Aug 2022 22:23</t>
  </si>
  <si>
    <t>06 Aug 2022 21:58</t>
  </si>
  <si>
    <t>06 Aug 2022 21:54</t>
  </si>
  <si>
    <t>06 Aug 2022 21:00</t>
  </si>
  <si>
    <t>06 Aug 2022 20:37</t>
  </si>
  <si>
    <t>06 Aug 2022 16:23</t>
  </si>
  <si>
    <t>06 Aug 2022 15:36</t>
  </si>
  <si>
    <t>06 Aug 2022 14:48</t>
  </si>
  <si>
    <t>06 Aug 2022 14:28</t>
  </si>
  <si>
    <t>06 Aug 2022 13:07</t>
  </si>
  <si>
    <t>06 Aug 2022 11:57</t>
  </si>
  <si>
    <t>06 Aug 2022 11:54</t>
  </si>
  <si>
    <t>06 Aug 2022 11:51</t>
  </si>
  <si>
    <t>06 Aug 2022 10:36</t>
  </si>
  <si>
    <t>06 Aug 2022 10:34</t>
  </si>
  <si>
    <t>06 Aug 2022 10:17</t>
  </si>
  <si>
    <t>06 Aug 2022 09:48</t>
  </si>
  <si>
    <t>06 Aug 2022 08:46</t>
  </si>
  <si>
    <t>06 Aug 2022 08:23</t>
  </si>
  <si>
    <t>06 Aug 2022 08:15</t>
  </si>
  <si>
    <t>06 Aug 2022 05:42</t>
  </si>
  <si>
    <t>06 Aug 2022 00:58</t>
  </si>
  <si>
    <t>06 Aug 2022 00:45</t>
  </si>
  <si>
    <t>05 Aug 2022 22:32</t>
  </si>
  <si>
    <t>05 Aug 2022 21:07</t>
  </si>
  <si>
    <t>05 Aug 2022 19:00</t>
  </si>
  <si>
    <t>05 Aug 2022 18:38</t>
  </si>
  <si>
    <t>05 Aug 2022 18:31</t>
  </si>
  <si>
    <t>05 Aug 2022 17:02</t>
  </si>
  <si>
    <t>05 Aug 2022 15:52</t>
  </si>
  <si>
    <t>05 Aug 2022 14:48</t>
  </si>
  <si>
    <t>05 Aug 2022 13:49</t>
  </si>
  <si>
    <t>05 Aug 2022 13:11</t>
  </si>
  <si>
    <t>05 Aug 2022 11:02</t>
  </si>
  <si>
    <t>05 Aug 2022 10:53</t>
  </si>
  <si>
    <t>05 Aug 2022 09:38</t>
  </si>
  <si>
    <t>05 Aug 2022 09:13</t>
  </si>
  <si>
    <t>05 Aug 2022 08:53</t>
  </si>
  <si>
    <t>05 Aug 2022 08:48</t>
  </si>
  <si>
    <t>05 Aug 2022 08:39</t>
  </si>
  <si>
    <t>05 Aug 2022 08:19</t>
  </si>
  <si>
    <t>05 Aug 2022 07:52</t>
  </si>
  <si>
    <t>05 Aug 2022 07:46</t>
  </si>
  <si>
    <t>05 Aug 2022 06:52</t>
  </si>
  <si>
    <t>05 Aug 2022 06:42</t>
  </si>
  <si>
    <t>05 Aug 2022 06:14</t>
  </si>
  <si>
    <t>05 Aug 2022 03:41</t>
  </si>
  <si>
    <t>05 Aug 2022 01:07</t>
  </si>
  <si>
    <t>05 Aug 2022 01:01</t>
  </si>
  <si>
    <t>05 Aug 2022 00:56</t>
  </si>
  <si>
    <t>04 Aug 2022 23:54</t>
  </si>
  <si>
    <t>04 Aug 2022 23:41</t>
  </si>
  <si>
    <t>04 Aug 2022 23:39</t>
  </si>
  <si>
    <t>04 Aug 2022 22:43</t>
  </si>
  <si>
    <t>04 Aug 2022 22:31</t>
  </si>
  <si>
    <t>04 Aug 2022 21:57</t>
  </si>
  <si>
    <t>04 Aug 2022 21:56</t>
  </si>
  <si>
    <t>04 Aug 2022 21:48</t>
  </si>
  <si>
    <t>04 Aug 2022 21:42</t>
  </si>
  <si>
    <t>04 Aug 2022 21:05</t>
  </si>
  <si>
    <t>04 Aug 2022 21:03</t>
  </si>
  <si>
    <t>04 Aug 2022 21:02</t>
  </si>
  <si>
    <t>04 Aug 2022 20:22</t>
  </si>
  <si>
    <t>04 Aug 2022 20:12</t>
  </si>
  <si>
    <t>04 Aug 2022 19:32</t>
  </si>
  <si>
    <t>04 Aug 2022 18:20</t>
  </si>
  <si>
    <t>04 Aug 2022 17:53</t>
  </si>
  <si>
    <t>04 Aug 2022 17:42</t>
  </si>
  <si>
    <t>04 Aug 2022 17:32</t>
  </si>
  <si>
    <t>04 Aug 2022 16:56</t>
  </si>
  <si>
    <t>04 Aug 2022 16:09</t>
  </si>
  <si>
    <t>04 Aug 2022 15:55</t>
  </si>
  <si>
    <t>04 Aug 2022 15:44</t>
  </si>
  <si>
    <t>04 Aug 2022 15:21</t>
  </si>
  <si>
    <t>04 Aug 2022 14:57</t>
  </si>
  <si>
    <t>04 Aug 2022 14:48</t>
  </si>
  <si>
    <t>04 Aug 2022 14:42</t>
  </si>
  <si>
    <t>04 Aug 2022 14:39</t>
  </si>
  <si>
    <t>04 Aug 2022 14:34</t>
  </si>
  <si>
    <t>04 Aug 2022 14:25</t>
  </si>
  <si>
    <t>04 Aug 2022 14:22</t>
  </si>
  <si>
    <t>04 Aug 2022 13:59</t>
  </si>
  <si>
    <t>04 Aug 2022 13:53</t>
  </si>
  <si>
    <t>04 Aug 2022 13:32</t>
  </si>
  <si>
    <t>04 Aug 2022 12:19</t>
  </si>
  <si>
    <t>04 Aug 2022 12:18</t>
  </si>
  <si>
    <t>04 Aug 2022 11:32</t>
  </si>
  <si>
    <t>04 Aug 2022 11:16</t>
  </si>
  <si>
    <t>04 Aug 2022 11:11</t>
  </si>
  <si>
    <t>04 Aug 2022 10:46</t>
  </si>
  <si>
    <t>04 Aug 2022 10:25</t>
  </si>
  <si>
    <t>04 Aug 2022 10:24</t>
  </si>
  <si>
    <t>04 Aug 2022 09:22</t>
  </si>
  <si>
    <t>04 Aug 2022 09:17</t>
  </si>
  <si>
    <t>04 Aug 2022 07:40</t>
  </si>
  <si>
    <t>04 Aug 2022 05:39</t>
  </si>
  <si>
    <t>04 Aug 2022 02:36</t>
  </si>
  <si>
    <t>04 Aug 2022 01:40</t>
  </si>
  <si>
    <t>04 Aug 2022 00:46</t>
  </si>
  <si>
    <t>04 Aug 2022 00:22</t>
  </si>
  <si>
    <t>03 Aug 2022 21:27</t>
  </si>
  <si>
    <t>03 Aug 2022 21:09</t>
  </si>
  <si>
    <t>03 Aug 2022 19:13</t>
  </si>
  <si>
    <t>03 Aug 2022 18:31</t>
  </si>
  <si>
    <t>03 Aug 2022 18:28</t>
  </si>
  <si>
    <t>03 Aug 2022 15:15</t>
  </si>
  <si>
    <t>02 Aug 2022 22:52</t>
  </si>
  <si>
    <t>02 Aug 2022 19:59</t>
  </si>
  <si>
    <t>02 Aug 2022 12:09</t>
  </si>
  <si>
    <t>02 Aug 2022 10:51</t>
  </si>
  <si>
    <t>02 Aug 2022 10:10</t>
  </si>
  <si>
    <t>01 Aug 2022 22:59</t>
  </si>
  <si>
    <t>01 Aug 2022 22:58</t>
  </si>
  <si>
    <t>01 Aug 2022 22:39</t>
  </si>
  <si>
    <t>01 Aug 2022 21:41</t>
  </si>
  <si>
    <t>01 Aug 2022 21:37</t>
  </si>
  <si>
    <t>01 Aug 2022 21:13</t>
  </si>
  <si>
    <t>01 Aug 2022 21:09</t>
  </si>
  <si>
    <t>01 Aug 2022 20:41</t>
  </si>
  <si>
    <t>01 Aug 2022 20:23</t>
  </si>
  <si>
    <t>01 Aug 2022 19:19</t>
  </si>
  <si>
    <t>01 Aug 2022 18:49</t>
  </si>
  <si>
    <t>01 Aug 2022 18:38</t>
  </si>
  <si>
    <t>01 Aug 2022 18:29</t>
  </si>
  <si>
    <t>01 Aug 2022 18:23</t>
  </si>
  <si>
    <t>01 Aug 2022 18:19</t>
  </si>
  <si>
    <t>01 Aug 2022 17:59</t>
  </si>
  <si>
    <t>01 Aug 2022 16:19</t>
  </si>
  <si>
    <t>01 Aug 2022 15:53</t>
  </si>
  <si>
    <t>01 Aug 2022 15:39</t>
  </si>
  <si>
    <t>01 Aug 2022 15:17</t>
  </si>
  <si>
    <t>01 Aug 2022 15:16</t>
  </si>
  <si>
    <t>01 Aug 2022 15:08</t>
  </si>
  <si>
    <t>01 Aug 2022 14:51</t>
  </si>
  <si>
    <t>01 Aug 2022 14:33</t>
  </si>
  <si>
    <t>01 Aug 2022 14:30</t>
  </si>
  <si>
    <t>01 Aug 2022 14:26</t>
  </si>
  <si>
    <t>01 Aug 2022 14:03</t>
  </si>
  <si>
    <t>01 Aug 2022 13:53</t>
  </si>
  <si>
    <t>01 Aug 2022 13:40</t>
  </si>
  <si>
    <t>01 Aug 2022 13:28</t>
  </si>
  <si>
    <t>01 Aug 2022 12:55</t>
  </si>
  <si>
    <t>01 Aug 2022 12:53</t>
  </si>
  <si>
    <t>01 Aug 2022 12:52</t>
  </si>
  <si>
    <t>01 Aug 2022 12:46</t>
  </si>
  <si>
    <t>01 Aug 2022 12:45</t>
  </si>
  <si>
    <t>01 Aug 2022 12:29</t>
  </si>
  <si>
    <t>01 Aug 2022 12:09</t>
  </si>
  <si>
    <t>01 Aug 2022 12:05</t>
  </si>
  <si>
    <t>01 Aug 2022 12:01</t>
  </si>
  <si>
    <t>01 Aug 2022 11:28</t>
  </si>
  <si>
    <t>01 Aug 2022 11:20</t>
  </si>
  <si>
    <t>01 Aug 2022 10:47</t>
  </si>
  <si>
    <t>01 Aug 2022 10:39</t>
  </si>
  <si>
    <t>01 Aug 2022 10:13</t>
  </si>
  <si>
    <t>01 Aug 2022 09:44</t>
  </si>
  <si>
    <t>01 Aug 2022 09:05</t>
  </si>
  <si>
    <t>01 Aug 2022 08:53</t>
  </si>
  <si>
    <t>01 Aug 2022 08:49</t>
  </si>
  <si>
    <t>01 Aug 2022 08:30</t>
  </si>
  <si>
    <t>01 Aug 2022 08:04</t>
  </si>
  <si>
    <t>01 Aug 2022 02:41</t>
  </si>
  <si>
    <t>01 Aug 2022 00:59</t>
  </si>
  <si>
    <t>01 Aug 2022 00:27</t>
  </si>
  <si>
    <t>01 Aug 2022 00:07</t>
  </si>
  <si>
    <t>EB024</t>
  </si>
  <si>
    <t>NGM39</t>
  </si>
  <si>
    <t>NƯỚC LAU SÀN NẮNG HẠ LIX 3.6L/C04</t>
  </si>
  <si>
    <t>NƯỚC LAU SÀN LILY &amp; HOA HỒNG LIX 3.6L/C04</t>
  </si>
  <si>
    <t>NƯỚC LAU SÀN ĐUỔI CÔN TRÙNG LIX 3.6L/C04</t>
  </si>
  <si>
    <t>NƯỚC LAU SÀN ĐUỔI CÔN TRÙNG LIX 2L/C08</t>
  </si>
  <si>
    <t>BỘT GIẶT LIXE 2,4KG/06</t>
  </si>
  <si>
    <t xml:space="preserve">Ngày đặt hàng </t>
  </si>
  <si>
    <t xml:space="preserve">Thành Tiền </t>
  </si>
  <si>
    <t>Mã KH(nếu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</si>
</sst>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 vertical="center"/>
    </xf>
    <xf numFmtId="165" fontId="2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7"/>
  <sheetViews>
    <sheetView tabSelected="1" workbookViewId="0">
      <selection activeCell="K2" sqref="K2"/>
    </sheetView>
  </sheetViews>
  <sheetFormatPr defaultRowHeight="15" x14ac:dyDescent="0.25"/>
  <cols>
    <col min="1" max="1" width="6.5703125" customWidth="1"/>
    <col min="2" max="2" width="19.7109375" customWidth="1"/>
    <col min="3" max="3" width="22.28515625" customWidth="1"/>
    <col min="4" max="4" width="15.28515625" customWidth="1"/>
    <col min="5" max="5" width="45.140625" customWidth="1"/>
    <col min="6" max="6" width="11.7109375" style="4" customWidth="1"/>
    <col min="7" max="7" width="12.5703125" customWidth="1"/>
    <col min="8" max="8" width="16.42578125" style="4" customWidth="1"/>
    <col min="9" max="9" width="13.85546875" style="4" customWidth="1"/>
    <col min="10" max="10" width="14" customWidth="1"/>
    <col min="11" max="11" width="15.5703125" bestFit="1" customWidth="1"/>
  </cols>
  <sheetData>
    <row r="1" spans="1:11" x14ac:dyDescent="0.25">
      <c r="A1" s="2" t="s">
        <v>210</v>
      </c>
      <c r="B1" s="2" t="s">
        <v>2750</v>
      </c>
      <c r="C1" s="2" t="s">
        <v>0</v>
      </c>
      <c r="D1" s="2" t="s">
        <v>1</v>
      </c>
      <c r="E1" s="2" t="s">
        <v>2</v>
      </c>
      <c r="F1" s="7" t="s">
        <v>3</v>
      </c>
      <c r="G1" s="2" t="s">
        <v>4</v>
      </c>
      <c r="H1" s="7" t="s">
        <v>5</v>
      </c>
      <c r="I1" s="7" t="s">
        <v>6</v>
      </c>
      <c r="J1" s="2" t="s">
        <v>2751</v>
      </c>
      <c r="K1" s="7" t="s">
        <v>2752</v>
      </c>
    </row>
    <row r="2" spans="1:11" x14ac:dyDescent="0.25">
      <c r="A2" s="6">
        <v>1</v>
      </c>
      <c r="B2" t="s">
        <v>1495</v>
      </c>
      <c r="C2" t="s">
        <v>213</v>
      </c>
      <c r="D2" t="s">
        <v>23</v>
      </c>
      <c r="E2" t="str">
        <f>VLOOKUP(D2,'Tên SP'!B$2:C$1070,2,0)</f>
        <v>NƯỚC XẢ VẢI LIXSOFT 3,6L/C04</v>
      </c>
      <c r="F2" s="4">
        <v>92000</v>
      </c>
      <c r="G2">
        <v>1</v>
      </c>
      <c r="H2" s="4">
        <v>92000</v>
      </c>
      <c r="I2" s="4">
        <v>-100</v>
      </c>
      <c r="J2" s="5">
        <f>H2+I2</f>
        <v>91900</v>
      </c>
    </row>
    <row r="3" spans="1:11" x14ac:dyDescent="0.25">
      <c r="A3" s="6">
        <v>2</v>
      </c>
      <c r="B3" t="s">
        <v>1496</v>
      </c>
      <c r="C3" t="s">
        <v>214</v>
      </c>
      <c r="D3" t="s">
        <v>108</v>
      </c>
      <c r="E3" t="str">
        <f>VLOOKUP(D3,'Tên SP'!B$2:C$1070,2,0)</f>
        <v>NƯỚC GIẶT LIX SIÊU SẠCH HOA ANH ĐÀO 3.5KG/C04</v>
      </c>
      <c r="F3" s="4">
        <v>115000</v>
      </c>
      <c r="G3">
        <v>1</v>
      </c>
      <c r="H3" s="4">
        <v>115000</v>
      </c>
      <c r="I3" s="4">
        <v>-250</v>
      </c>
      <c r="J3" s="5">
        <f t="shared" ref="J3:J66" si="0">H3+I3</f>
        <v>114750</v>
      </c>
    </row>
    <row r="4" spans="1:11" x14ac:dyDescent="0.25">
      <c r="A4" s="6">
        <v>3</v>
      </c>
      <c r="B4" t="s">
        <v>1497</v>
      </c>
      <c r="C4" t="s">
        <v>215</v>
      </c>
      <c r="D4" t="s">
        <v>94</v>
      </c>
      <c r="E4" t="str">
        <f>VLOOKUP(D4,'Tên SP'!B$2:C$1070,2,0)</f>
        <v>NƯỚC LAU SÀN ĐUỔI CÔN TRÙNG LIX 2L/C08</v>
      </c>
      <c r="F4" s="4">
        <v>55000</v>
      </c>
      <c r="G4">
        <v>1</v>
      </c>
      <c r="H4" s="4">
        <v>55000</v>
      </c>
      <c r="I4" s="4">
        <v>-3000</v>
      </c>
      <c r="J4" s="5">
        <f t="shared" si="0"/>
        <v>52000</v>
      </c>
    </row>
    <row r="5" spans="1:11" x14ac:dyDescent="0.25">
      <c r="A5" s="6">
        <v>4</v>
      </c>
      <c r="B5" t="s">
        <v>1497</v>
      </c>
      <c r="C5" t="s">
        <v>215</v>
      </c>
      <c r="D5" t="s">
        <v>94</v>
      </c>
      <c r="E5" t="str">
        <f>VLOOKUP(D5,'Tên SP'!B$2:C$1070,2,0)</f>
        <v>NƯỚC LAU SÀN ĐUỔI CÔN TRÙNG LIX 2L/C08</v>
      </c>
      <c r="F5" s="4">
        <v>55000</v>
      </c>
      <c r="G5">
        <v>1</v>
      </c>
      <c r="H5" s="4">
        <v>55000</v>
      </c>
      <c r="I5" s="4">
        <v>-3000</v>
      </c>
      <c r="J5" s="5">
        <f t="shared" si="0"/>
        <v>52000</v>
      </c>
    </row>
    <row r="6" spans="1:11" x14ac:dyDescent="0.25">
      <c r="A6" s="6">
        <v>5</v>
      </c>
      <c r="B6" t="s">
        <v>1497</v>
      </c>
      <c r="C6" t="s">
        <v>215</v>
      </c>
      <c r="D6" t="s">
        <v>94</v>
      </c>
      <c r="E6" t="str">
        <f>VLOOKUP(D6,'Tên SP'!B$2:C$1070,2,0)</f>
        <v>NƯỚC LAU SÀN ĐUỔI CÔN TRÙNG LIX 2L/C08</v>
      </c>
      <c r="F6" s="4">
        <v>55000</v>
      </c>
      <c r="G6">
        <v>1</v>
      </c>
      <c r="H6" s="4">
        <v>55000</v>
      </c>
      <c r="I6" s="4">
        <v>-3000</v>
      </c>
      <c r="J6" s="5">
        <f t="shared" si="0"/>
        <v>52000</v>
      </c>
    </row>
    <row r="7" spans="1:11" x14ac:dyDescent="0.25">
      <c r="A7" s="6">
        <v>6</v>
      </c>
      <c r="B7" t="s">
        <v>1497</v>
      </c>
      <c r="C7" t="s">
        <v>215</v>
      </c>
      <c r="D7" t="s">
        <v>94</v>
      </c>
      <c r="E7" t="str">
        <f>VLOOKUP(D7,'Tên SP'!B$2:C$1070,2,0)</f>
        <v>NƯỚC LAU SÀN ĐUỔI CÔN TRÙNG LIX 2L/C08</v>
      </c>
      <c r="F7" s="4">
        <v>55000</v>
      </c>
      <c r="G7">
        <v>1</v>
      </c>
      <c r="H7" s="4">
        <v>55000</v>
      </c>
      <c r="I7" s="4">
        <v>-3000</v>
      </c>
      <c r="J7" s="5">
        <f t="shared" si="0"/>
        <v>52000</v>
      </c>
    </row>
    <row r="8" spans="1:11" x14ac:dyDescent="0.25">
      <c r="A8" s="6">
        <v>7</v>
      </c>
      <c r="B8" t="s">
        <v>1497</v>
      </c>
      <c r="C8" t="s">
        <v>215</v>
      </c>
      <c r="D8" t="s">
        <v>94</v>
      </c>
      <c r="E8" t="str">
        <f>VLOOKUP(D8,'Tên SP'!B$2:C$1070,2,0)</f>
        <v>NƯỚC LAU SÀN ĐUỔI CÔN TRÙNG LIX 2L/C08</v>
      </c>
      <c r="F8" s="4">
        <v>55000</v>
      </c>
      <c r="G8">
        <v>1</v>
      </c>
      <c r="H8" s="4">
        <v>55000</v>
      </c>
      <c r="I8" s="4">
        <v>-3000</v>
      </c>
      <c r="J8" s="5">
        <f t="shared" si="0"/>
        <v>52000</v>
      </c>
    </row>
    <row r="9" spans="1:11" x14ac:dyDescent="0.25">
      <c r="A9" s="6">
        <v>8</v>
      </c>
      <c r="B9" t="s">
        <v>1498</v>
      </c>
      <c r="C9" t="s">
        <v>216</v>
      </c>
      <c r="D9" t="s">
        <v>102</v>
      </c>
      <c r="E9" t="str">
        <f>VLOOKUP(D9,'Tên SP'!B$2:C$1070,2,0)</f>
        <v>NƯỚC GIẶT LIX HƯƠNG NƯỚC HOA 3,5KG/T04 TÚI</v>
      </c>
      <c r="F9" s="4">
        <v>105000</v>
      </c>
      <c r="G9">
        <v>1</v>
      </c>
      <c r="H9" s="4">
        <v>105000</v>
      </c>
      <c r="I9" s="4">
        <v>-150</v>
      </c>
      <c r="J9" s="5">
        <f t="shared" si="0"/>
        <v>104850</v>
      </c>
    </row>
    <row r="10" spans="1:11" x14ac:dyDescent="0.25">
      <c r="A10" s="6">
        <v>9</v>
      </c>
      <c r="B10" t="s">
        <v>1499</v>
      </c>
      <c r="C10" t="s">
        <v>217</v>
      </c>
      <c r="D10" t="s">
        <v>102</v>
      </c>
      <c r="E10" t="str">
        <f>VLOOKUP(D10,'Tên SP'!B$2:C$1070,2,0)</f>
        <v>NƯỚC GIẶT LIX HƯƠNG NƯỚC HOA 3,5KG/T04 TÚI</v>
      </c>
      <c r="F10" s="4">
        <v>105000</v>
      </c>
      <c r="G10">
        <v>1</v>
      </c>
      <c r="H10" s="4">
        <v>105000</v>
      </c>
      <c r="I10" s="4">
        <v>0</v>
      </c>
      <c r="J10" s="5">
        <f t="shared" si="0"/>
        <v>105000</v>
      </c>
    </row>
    <row r="11" spans="1:11" x14ac:dyDescent="0.25">
      <c r="A11" s="6">
        <v>10</v>
      </c>
      <c r="B11" t="s">
        <v>1500</v>
      </c>
      <c r="C11" t="s">
        <v>218</v>
      </c>
      <c r="D11" t="s">
        <v>28</v>
      </c>
      <c r="E11" t="str">
        <f>VLOOKUP(D11,'Tên SP'!B$2:C$1070,2,0)</f>
        <v>NƯỚC XẢ VẢI LIXSOFT HƯƠNG HOA HỒNG 3,6L/C04</v>
      </c>
      <c r="F11" s="4">
        <v>79000</v>
      </c>
      <c r="G11">
        <v>1</v>
      </c>
      <c r="H11" s="4">
        <v>79000</v>
      </c>
      <c r="I11" s="4">
        <v>-100</v>
      </c>
      <c r="J11" s="5">
        <f t="shared" si="0"/>
        <v>78900</v>
      </c>
    </row>
    <row r="12" spans="1:11" x14ac:dyDescent="0.25">
      <c r="A12" s="6">
        <v>11</v>
      </c>
      <c r="B12" t="s">
        <v>1501</v>
      </c>
      <c r="C12" t="s">
        <v>219</v>
      </c>
      <c r="D12" t="s">
        <v>9</v>
      </c>
      <c r="E12" t="str">
        <f>VLOOKUP(D12,'Tên SP'!B$2:C$1070,2,0)</f>
        <v>NƯỚC GIẶT LIX ĐẬM ĐẶC 3,5KG/T04 TÚI</v>
      </c>
      <c r="F12" s="4">
        <v>88000</v>
      </c>
      <c r="G12">
        <v>1</v>
      </c>
      <c r="H12" s="4">
        <v>88000</v>
      </c>
      <c r="I12" s="4">
        <v>0</v>
      </c>
      <c r="J12" s="5">
        <f t="shared" si="0"/>
        <v>88000</v>
      </c>
    </row>
    <row r="13" spans="1:11" x14ac:dyDescent="0.25">
      <c r="A13" s="6">
        <v>12</v>
      </c>
      <c r="B13" t="s">
        <v>1501</v>
      </c>
      <c r="C13" t="s">
        <v>219</v>
      </c>
      <c r="D13" t="s">
        <v>9</v>
      </c>
      <c r="E13" t="str">
        <f>VLOOKUP(D13,'Tên SP'!B$2:C$1070,2,0)</f>
        <v>NƯỚC GIẶT LIX ĐẬM ĐẶC 3,5KG/T04 TÚI</v>
      </c>
      <c r="F13" s="4">
        <v>88000</v>
      </c>
      <c r="G13">
        <v>1</v>
      </c>
      <c r="H13" s="4">
        <v>88000</v>
      </c>
      <c r="I13" s="4">
        <v>0</v>
      </c>
      <c r="J13" s="5">
        <f t="shared" si="0"/>
        <v>88000</v>
      </c>
    </row>
    <row r="14" spans="1:11" x14ac:dyDescent="0.25">
      <c r="A14" s="6">
        <v>13</v>
      </c>
      <c r="B14" t="s">
        <v>7</v>
      </c>
      <c r="C14" t="s">
        <v>8</v>
      </c>
      <c r="D14" t="s">
        <v>9</v>
      </c>
      <c r="E14" t="str">
        <f>VLOOKUP(D14,'Tên SP'!B$2:C$1070,2,0)</f>
        <v>NƯỚC GIẶT LIX ĐẬM ĐẶC 3,5KG/T04 TÚI</v>
      </c>
      <c r="F14" s="4">
        <v>88000</v>
      </c>
      <c r="G14">
        <v>1</v>
      </c>
      <c r="H14" s="4">
        <v>88000</v>
      </c>
      <c r="I14" s="4">
        <v>0</v>
      </c>
      <c r="J14" s="5">
        <f t="shared" si="0"/>
        <v>88000</v>
      </c>
    </row>
    <row r="15" spans="1:11" x14ac:dyDescent="0.25">
      <c r="A15" s="6">
        <v>14</v>
      </c>
      <c r="B15" t="s">
        <v>7</v>
      </c>
      <c r="C15" t="s">
        <v>8</v>
      </c>
      <c r="D15" t="s">
        <v>9</v>
      </c>
      <c r="E15" t="str">
        <f>VLOOKUP(D15,'Tên SP'!B$2:C$1070,2,0)</f>
        <v>NƯỚC GIẶT LIX ĐẬM ĐẶC 3,5KG/T04 TÚI</v>
      </c>
      <c r="F15" s="4">
        <v>88000</v>
      </c>
      <c r="G15">
        <v>1</v>
      </c>
      <c r="H15" s="4">
        <v>88000</v>
      </c>
      <c r="I15" s="4">
        <v>0</v>
      </c>
      <c r="J15" s="5">
        <f t="shared" si="0"/>
        <v>88000</v>
      </c>
    </row>
    <row r="16" spans="1:11" x14ac:dyDescent="0.25">
      <c r="A16" s="6">
        <v>15</v>
      </c>
      <c r="B16" t="s">
        <v>1502</v>
      </c>
      <c r="C16" t="s">
        <v>220</v>
      </c>
      <c r="D16" t="s">
        <v>28</v>
      </c>
      <c r="E16" t="str">
        <f>VLOOKUP(D16,'Tên SP'!B$2:C$1070,2,0)</f>
        <v>NƯỚC XẢ VẢI LIXSOFT HƯƠNG HOA HỒNG 3,6L/C04</v>
      </c>
      <c r="F16" s="4">
        <v>79000</v>
      </c>
      <c r="G16">
        <v>1</v>
      </c>
      <c r="H16" s="4">
        <v>79000</v>
      </c>
      <c r="I16" s="4">
        <v>0</v>
      </c>
      <c r="J16" s="5">
        <f t="shared" si="0"/>
        <v>79000</v>
      </c>
    </row>
    <row r="17" spans="1:10" x14ac:dyDescent="0.25">
      <c r="A17" s="6">
        <v>16</v>
      </c>
      <c r="B17" t="s">
        <v>1503</v>
      </c>
      <c r="C17" t="s">
        <v>221</v>
      </c>
      <c r="D17" t="s">
        <v>9</v>
      </c>
      <c r="E17" t="str">
        <f>VLOOKUP(D17,'Tên SP'!B$2:C$1070,2,0)</f>
        <v>NƯỚC GIẶT LIX ĐẬM ĐẶC 3,5KG/T04 TÚI</v>
      </c>
      <c r="F17" s="4">
        <v>105000</v>
      </c>
      <c r="G17">
        <v>1</v>
      </c>
      <c r="H17" s="4">
        <v>105000</v>
      </c>
      <c r="I17" s="4">
        <v>-5183</v>
      </c>
      <c r="J17" s="5">
        <f t="shared" si="0"/>
        <v>99817</v>
      </c>
    </row>
    <row r="18" spans="1:10" x14ac:dyDescent="0.25">
      <c r="A18" s="6">
        <v>17</v>
      </c>
      <c r="B18" t="s">
        <v>1503</v>
      </c>
      <c r="C18" t="s">
        <v>221</v>
      </c>
      <c r="D18" t="s">
        <v>9</v>
      </c>
      <c r="E18" t="str">
        <f>VLOOKUP(D18,'Tên SP'!B$2:C$1070,2,0)</f>
        <v>NƯỚC GIẶT LIX ĐẬM ĐẶC 3,5KG/T04 TÚI</v>
      </c>
      <c r="F18" s="4">
        <v>105000</v>
      </c>
      <c r="G18">
        <v>1</v>
      </c>
      <c r="H18" s="4">
        <v>105000</v>
      </c>
      <c r="I18" s="4">
        <v>-5184</v>
      </c>
      <c r="J18" s="5">
        <f t="shared" si="0"/>
        <v>99816</v>
      </c>
    </row>
    <row r="19" spans="1:10" x14ac:dyDescent="0.25">
      <c r="A19" s="6">
        <v>18</v>
      </c>
      <c r="B19" t="s">
        <v>1503</v>
      </c>
      <c r="C19" t="s">
        <v>221</v>
      </c>
      <c r="D19" t="s">
        <v>9</v>
      </c>
      <c r="E19" t="str">
        <f>VLOOKUP(D19,'Tên SP'!B$2:C$1070,2,0)</f>
        <v>NƯỚC GIẶT LIX ĐẬM ĐẶC 3,5KG/T04 TÚI</v>
      </c>
      <c r="F19" s="4">
        <v>105000</v>
      </c>
      <c r="G19">
        <v>1</v>
      </c>
      <c r="H19" s="4">
        <v>105000</v>
      </c>
      <c r="I19" s="4">
        <v>-5183</v>
      </c>
      <c r="J19" s="5">
        <f t="shared" si="0"/>
        <v>99817</v>
      </c>
    </row>
    <row r="20" spans="1:10" x14ac:dyDescent="0.25">
      <c r="A20" s="6">
        <v>19</v>
      </c>
      <c r="B20" t="s">
        <v>1504</v>
      </c>
      <c r="C20" t="s">
        <v>222</v>
      </c>
      <c r="D20" t="s">
        <v>28</v>
      </c>
      <c r="E20" t="str">
        <f>VLOOKUP(D20,'Tên SP'!B$2:C$1070,2,0)</f>
        <v>NƯỚC XẢ VẢI LIXSOFT HƯƠNG HOA HỒNG 3,6L/C04</v>
      </c>
      <c r="F20" s="4">
        <v>79000</v>
      </c>
      <c r="G20">
        <v>1</v>
      </c>
      <c r="H20" s="4">
        <v>79000</v>
      </c>
      <c r="I20" s="4">
        <v>0</v>
      </c>
      <c r="J20" s="5">
        <f t="shared" si="0"/>
        <v>79000</v>
      </c>
    </row>
    <row r="21" spans="1:10" x14ac:dyDescent="0.25">
      <c r="A21" s="6">
        <v>20</v>
      </c>
      <c r="B21" t="s">
        <v>10</v>
      </c>
      <c r="C21" t="s">
        <v>11</v>
      </c>
      <c r="D21" t="s">
        <v>9</v>
      </c>
      <c r="E21" t="str">
        <f>VLOOKUP(D21,'Tên SP'!B$2:C$1070,2,0)</f>
        <v>NƯỚC GIẶT LIX ĐẬM ĐẶC 3,5KG/T04 TÚI</v>
      </c>
      <c r="F21" s="4">
        <v>88000</v>
      </c>
      <c r="G21">
        <v>1</v>
      </c>
      <c r="H21" s="4">
        <v>88000</v>
      </c>
      <c r="I21" s="4">
        <v>-425</v>
      </c>
      <c r="J21" s="5">
        <f t="shared" si="0"/>
        <v>87575</v>
      </c>
    </row>
    <row r="22" spans="1:10" x14ac:dyDescent="0.25">
      <c r="A22" s="6">
        <v>21</v>
      </c>
      <c r="B22" t="s">
        <v>10</v>
      </c>
      <c r="C22" t="s">
        <v>11</v>
      </c>
      <c r="D22" t="s">
        <v>9</v>
      </c>
      <c r="E22" t="str">
        <f>VLOOKUP(D22,'Tên SP'!B$2:C$1070,2,0)</f>
        <v>NƯỚC GIẶT LIX ĐẬM ĐẶC 3,5KG/T04 TÚI</v>
      </c>
      <c r="F22" s="4">
        <v>88000</v>
      </c>
      <c r="G22">
        <v>1</v>
      </c>
      <c r="H22" s="4">
        <v>88000</v>
      </c>
      <c r="I22" s="4">
        <v>-425</v>
      </c>
      <c r="J22" s="5">
        <f t="shared" si="0"/>
        <v>87575</v>
      </c>
    </row>
    <row r="23" spans="1:10" x14ac:dyDescent="0.25">
      <c r="A23" s="6">
        <v>22</v>
      </c>
      <c r="B23" t="s">
        <v>1505</v>
      </c>
      <c r="C23" t="s">
        <v>223</v>
      </c>
      <c r="D23" t="s">
        <v>28</v>
      </c>
      <c r="E23" t="str">
        <f>VLOOKUP(D23,'Tên SP'!B$2:C$1070,2,0)</f>
        <v>NƯỚC XẢ VẢI LIXSOFT HƯƠNG HOA HỒNG 3,6L/C04</v>
      </c>
      <c r="F23" s="4">
        <v>79000</v>
      </c>
      <c r="G23">
        <v>1</v>
      </c>
      <c r="H23" s="4">
        <v>79000</v>
      </c>
      <c r="I23" s="4">
        <v>-200</v>
      </c>
      <c r="J23" s="5">
        <f t="shared" si="0"/>
        <v>78800</v>
      </c>
    </row>
    <row r="24" spans="1:10" x14ac:dyDescent="0.25">
      <c r="A24" s="6">
        <v>23</v>
      </c>
      <c r="B24" t="s">
        <v>12</v>
      </c>
      <c r="C24" t="s">
        <v>13</v>
      </c>
      <c r="D24" t="s">
        <v>9</v>
      </c>
      <c r="E24" t="str">
        <f>VLOOKUP(D24,'Tên SP'!B$2:C$1070,2,0)</f>
        <v>NƯỚC GIẶT LIX ĐẬM ĐẶC 3,5KG/T04 TÚI</v>
      </c>
      <c r="F24" s="4">
        <v>88000</v>
      </c>
      <c r="G24">
        <v>1</v>
      </c>
      <c r="H24" s="4">
        <v>88000</v>
      </c>
      <c r="I24" s="4">
        <v>0</v>
      </c>
      <c r="J24" s="5">
        <f t="shared" si="0"/>
        <v>88000</v>
      </c>
    </row>
    <row r="25" spans="1:10" x14ac:dyDescent="0.25">
      <c r="A25" s="6">
        <v>24</v>
      </c>
      <c r="B25" t="s">
        <v>12</v>
      </c>
      <c r="C25" t="s">
        <v>13</v>
      </c>
      <c r="D25" t="s">
        <v>9</v>
      </c>
      <c r="E25" t="str">
        <f>VLOOKUP(D25,'Tên SP'!B$2:C$1070,2,0)</f>
        <v>NƯỚC GIẶT LIX ĐẬM ĐẶC 3,5KG/T04 TÚI</v>
      </c>
      <c r="F25" s="4">
        <v>88000</v>
      </c>
      <c r="G25">
        <v>1</v>
      </c>
      <c r="H25" s="4">
        <v>88000</v>
      </c>
      <c r="I25" s="4">
        <v>0</v>
      </c>
      <c r="J25" s="5">
        <f t="shared" si="0"/>
        <v>88000</v>
      </c>
    </row>
    <row r="26" spans="1:10" x14ac:dyDescent="0.25">
      <c r="A26" s="6">
        <v>25</v>
      </c>
      <c r="B26" t="s">
        <v>1506</v>
      </c>
      <c r="C26" t="s">
        <v>224</v>
      </c>
      <c r="D26" t="s">
        <v>9</v>
      </c>
      <c r="E26" t="str">
        <f>VLOOKUP(D26,'Tên SP'!B$2:C$1070,2,0)</f>
        <v>NƯỚC GIẶT LIX ĐẬM ĐẶC 3,5KG/T04 TÚI</v>
      </c>
      <c r="F26" s="4">
        <v>88000</v>
      </c>
      <c r="G26">
        <v>1</v>
      </c>
      <c r="H26" s="4">
        <v>88000</v>
      </c>
      <c r="I26" s="4">
        <v>-100</v>
      </c>
      <c r="J26" s="5">
        <f t="shared" si="0"/>
        <v>87900</v>
      </c>
    </row>
    <row r="27" spans="1:10" x14ac:dyDescent="0.25">
      <c r="A27" s="6">
        <v>26</v>
      </c>
      <c r="B27" t="s">
        <v>1507</v>
      </c>
      <c r="C27" t="s">
        <v>225</v>
      </c>
      <c r="D27" t="s">
        <v>9</v>
      </c>
      <c r="E27" t="str">
        <f>VLOOKUP(D27,'Tên SP'!B$2:C$1070,2,0)</f>
        <v>NƯỚC GIẶT LIX ĐẬM ĐẶC 3,5KG/T04 TÚI</v>
      </c>
      <c r="F27" s="4">
        <v>88000</v>
      </c>
      <c r="G27">
        <v>1</v>
      </c>
      <c r="H27" s="4">
        <v>88000</v>
      </c>
      <c r="I27" s="4">
        <v>0</v>
      </c>
      <c r="J27" s="5">
        <f t="shared" si="0"/>
        <v>88000</v>
      </c>
    </row>
    <row r="28" spans="1:10" x14ac:dyDescent="0.25">
      <c r="A28" s="6">
        <v>27</v>
      </c>
      <c r="B28" t="s">
        <v>14</v>
      </c>
      <c r="C28" t="s">
        <v>15</v>
      </c>
      <c r="D28" t="s">
        <v>9</v>
      </c>
      <c r="E28" t="str">
        <f>VLOOKUP(D28,'Tên SP'!B$2:C$1070,2,0)</f>
        <v>NƯỚC GIẶT LIX ĐẬM ĐẶC 3,5KG/T04 TÚI</v>
      </c>
      <c r="F28" s="4">
        <v>88000</v>
      </c>
      <c r="G28">
        <v>1</v>
      </c>
      <c r="H28" s="4">
        <v>88000</v>
      </c>
      <c r="I28" s="4">
        <v>-50</v>
      </c>
      <c r="J28" s="5">
        <f t="shared" si="0"/>
        <v>87950</v>
      </c>
    </row>
    <row r="29" spans="1:10" x14ac:dyDescent="0.25">
      <c r="A29" s="6">
        <v>28</v>
      </c>
      <c r="B29" t="s">
        <v>14</v>
      </c>
      <c r="C29" t="s">
        <v>15</v>
      </c>
      <c r="D29" t="s">
        <v>9</v>
      </c>
      <c r="E29" t="str">
        <f>VLOOKUP(D29,'Tên SP'!B$2:C$1070,2,0)</f>
        <v>NƯỚC GIẶT LIX ĐẬM ĐẶC 3,5KG/T04 TÚI</v>
      </c>
      <c r="F29" s="4">
        <v>88000</v>
      </c>
      <c r="G29">
        <v>1</v>
      </c>
      <c r="H29" s="4">
        <v>88000</v>
      </c>
      <c r="I29" s="4">
        <v>-50</v>
      </c>
      <c r="J29" s="5">
        <f t="shared" si="0"/>
        <v>87950</v>
      </c>
    </row>
    <row r="30" spans="1:10" x14ac:dyDescent="0.25">
      <c r="A30" s="6">
        <v>29</v>
      </c>
      <c r="B30" t="s">
        <v>1508</v>
      </c>
      <c r="C30" t="s">
        <v>226</v>
      </c>
      <c r="D30" t="s">
        <v>9</v>
      </c>
      <c r="E30" t="str">
        <f>VLOOKUP(D30,'Tên SP'!B$2:C$1070,2,0)</f>
        <v>NƯỚC GIẶT LIX ĐẬM ĐẶC 3,5KG/T04 TÚI</v>
      </c>
      <c r="F30" s="4">
        <v>88000</v>
      </c>
      <c r="G30">
        <v>1</v>
      </c>
      <c r="H30" s="4">
        <v>88000</v>
      </c>
      <c r="I30" s="4">
        <v>-200</v>
      </c>
      <c r="J30" s="5">
        <f t="shared" si="0"/>
        <v>87800</v>
      </c>
    </row>
    <row r="31" spans="1:10" x14ac:dyDescent="0.25">
      <c r="A31" s="6">
        <v>30</v>
      </c>
      <c r="B31" t="s">
        <v>16</v>
      </c>
      <c r="C31" t="s">
        <v>17</v>
      </c>
      <c r="D31" t="s">
        <v>9</v>
      </c>
      <c r="E31" t="str">
        <f>VLOOKUP(D31,'Tên SP'!B$2:C$1070,2,0)</f>
        <v>NƯỚC GIẶT LIX ĐẬM ĐẶC 3,5KG/T04 TÚI</v>
      </c>
      <c r="F31" s="4">
        <v>88000</v>
      </c>
      <c r="G31">
        <v>1</v>
      </c>
      <c r="H31" s="4">
        <v>88000</v>
      </c>
      <c r="I31" s="4">
        <v>-450</v>
      </c>
      <c r="J31" s="5">
        <f t="shared" si="0"/>
        <v>87550</v>
      </c>
    </row>
    <row r="32" spans="1:10" x14ac:dyDescent="0.25">
      <c r="A32" s="6">
        <v>31</v>
      </c>
      <c r="B32" t="s">
        <v>16</v>
      </c>
      <c r="C32" t="s">
        <v>17</v>
      </c>
      <c r="D32" t="s">
        <v>9</v>
      </c>
      <c r="E32" t="str">
        <f>VLOOKUP(D32,'Tên SP'!B$2:C$1070,2,0)</f>
        <v>NƯỚC GIẶT LIX ĐẬM ĐẶC 3,5KG/T04 TÚI</v>
      </c>
      <c r="F32" s="4">
        <v>88000</v>
      </c>
      <c r="G32">
        <v>1</v>
      </c>
      <c r="H32" s="4">
        <v>88000</v>
      </c>
      <c r="I32" s="4">
        <v>-450</v>
      </c>
      <c r="J32" s="5">
        <f t="shared" si="0"/>
        <v>87550</v>
      </c>
    </row>
    <row r="33" spans="1:10" x14ac:dyDescent="0.25">
      <c r="A33" s="6">
        <v>32</v>
      </c>
      <c r="B33" t="s">
        <v>1509</v>
      </c>
      <c r="C33" t="s">
        <v>227</v>
      </c>
      <c r="D33" t="s">
        <v>9</v>
      </c>
      <c r="E33" t="str">
        <f>VLOOKUP(D33,'Tên SP'!B$2:C$1070,2,0)</f>
        <v>NƯỚC GIẶT LIX ĐẬM ĐẶC 3,5KG/T04 TÚI</v>
      </c>
      <c r="F33" s="4">
        <v>88000</v>
      </c>
      <c r="G33">
        <v>1</v>
      </c>
      <c r="H33" s="4">
        <v>88000</v>
      </c>
      <c r="I33" s="4">
        <v>-1100</v>
      </c>
      <c r="J33" s="5">
        <f t="shared" si="0"/>
        <v>86900</v>
      </c>
    </row>
    <row r="34" spans="1:10" x14ac:dyDescent="0.25">
      <c r="A34" s="6">
        <v>33</v>
      </c>
      <c r="B34" t="s">
        <v>1510</v>
      </c>
      <c r="C34" t="s">
        <v>228</v>
      </c>
      <c r="D34" t="s">
        <v>9</v>
      </c>
      <c r="E34" t="str">
        <f>VLOOKUP(D34,'Tên SP'!B$2:C$1070,2,0)</f>
        <v>NƯỚC GIẶT LIX ĐẬM ĐẶC 3,5KG/T04 TÚI</v>
      </c>
      <c r="F34" s="4">
        <v>88000</v>
      </c>
      <c r="G34">
        <v>1</v>
      </c>
      <c r="H34" s="4">
        <v>88000</v>
      </c>
      <c r="I34" s="4">
        <v>0</v>
      </c>
      <c r="J34" s="5">
        <f t="shared" si="0"/>
        <v>88000</v>
      </c>
    </row>
    <row r="35" spans="1:10" x14ac:dyDescent="0.25">
      <c r="A35" s="6">
        <v>34</v>
      </c>
      <c r="B35" t="s">
        <v>1511</v>
      </c>
      <c r="C35" t="s">
        <v>229</v>
      </c>
      <c r="D35" t="s">
        <v>9</v>
      </c>
      <c r="E35" t="str">
        <f>VLOOKUP(D35,'Tên SP'!B$2:C$1070,2,0)</f>
        <v>NƯỚC GIẶT LIX ĐẬM ĐẶC 3,5KG/T04 TÚI</v>
      </c>
      <c r="F35" s="4">
        <v>88000</v>
      </c>
      <c r="G35">
        <v>1</v>
      </c>
      <c r="H35" s="4">
        <v>88000</v>
      </c>
      <c r="I35" s="4">
        <v>0</v>
      </c>
      <c r="J35" s="5">
        <f t="shared" si="0"/>
        <v>88000</v>
      </c>
    </row>
    <row r="36" spans="1:10" x14ac:dyDescent="0.25">
      <c r="A36" s="6">
        <v>35</v>
      </c>
      <c r="B36" t="s">
        <v>1512</v>
      </c>
      <c r="C36" t="s">
        <v>230</v>
      </c>
      <c r="D36" t="s">
        <v>9</v>
      </c>
      <c r="E36" t="str">
        <f>VLOOKUP(D36,'Tên SP'!B$2:C$1070,2,0)</f>
        <v>NƯỚC GIẶT LIX ĐẬM ĐẶC 3,5KG/T04 TÚI</v>
      </c>
      <c r="F36" s="4">
        <v>88000</v>
      </c>
      <c r="G36">
        <v>1</v>
      </c>
      <c r="H36" s="4">
        <v>88000</v>
      </c>
      <c r="I36" s="4">
        <v>0</v>
      </c>
      <c r="J36" s="5">
        <f t="shared" si="0"/>
        <v>88000</v>
      </c>
    </row>
    <row r="37" spans="1:10" x14ac:dyDescent="0.25">
      <c r="A37" s="6">
        <v>36</v>
      </c>
      <c r="B37" t="s">
        <v>1513</v>
      </c>
      <c r="C37" t="s">
        <v>231</v>
      </c>
      <c r="D37" t="s">
        <v>28</v>
      </c>
      <c r="E37" t="str">
        <f>VLOOKUP(D37,'Tên SP'!B$2:C$1070,2,0)</f>
        <v>NƯỚC XẢ VẢI LIXSOFT HƯƠNG HOA HỒNG 3,6L/C04</v>
      </c>
      <c r="F37" s="4">
        <v>79000</v>
      </c>
      <c r="G37">
        <v>1</v>
      </c>
      <c r="H37" s="4">
        <v>79000</v>
      </c>
      <c r="I37" s="4">
        <v>-135</v>
      </c>
      <c r="J37" s="5">
        <f t="shared" si="0"/>
        <v>78865</v>
      </c>
    </row>
    <row r="38" spans="1:10" x14ac:dyDescent="0.25">
      <c r="A38" s="6">
        <v>37</v>
      </c>
      <c r="B38" t="s">
        <v>18</v>
      </c>
      <c r="C38" t="s">
        <v>19</v>
      </c>
      <c r="D38" t="s">
        <v>9</v>
      </c>
      <c r="E38" t="str">
        <f>VLOOKUP(D38,'Tên SP'!B$2:C$1070,2,0)</f>
        <v>NƯỚC GIẶT LIX ĐẬM ĐẶC 3,5KG/T04 TÚI</v>
      </c>
      <c r="F38" s="4">
        <v>88000</v>
      </c>
      <c r="G38">
        <v>1</v>
      </c>
      <c r="H38" s="4">
        <v>88000</v>
      </c>
      <c r="I38" s="4">
        <v>-5000</v>
      </c>
      <c r="J38" s="5">
        <f t="shared" si="0"/>
        <v>83000</v>
      </c>
    </row>
    <row r="39" spans="1:10" x14ac:dyDescent="0.25">
      <c r="A39" s="6">
        <v>38</v>
      </c>
      <c r="B39" t="s">
        <v>18</v>
      </c>
      <c r="C39" t="s">
        <v>19</v>
      </c>
      <c r="D39" t="s">
        <v>9</v>
      </c>
      <c r="E39" t="str">
        <f>VLOOKUP(D39,'Tên SP'!B$2:C$1070,2,0)</f>
        <v>NƯỚC GIẶT LIX ĐẬM ĐẶC 3,5KG/T04 TÚI</v>
      </c>
      <c r="F39" s="4">
        <v>88000</v>
      </c>
      <c r="G39">
        <v>1</v>
      </c>
      <c r="H39" s="4">
        <v>88000</v>
      </c>
      <c r="I39" s="4">
        <v>-5000</v>
      </c>
      <c r="J39" s="5">
        <f t="shared" si="0"/>
        <v>83000</v>
      </c>
    </row>
    <row r="40" spans="1:10" x14ac:dyDescent="0.25">
      <c r="A40" s="6">
        <v>39</v>
      </c>
      <c r="B40" t="s">
        <v>18</v>
      </c>
      <c r="C40" t="s">
        <v>19</v>
      </c>
      <c r="D40" t="s">
        <v>9</v>
      </c>
      <c r="E40" t="str">
        <f>VLOOKUP(D40,'Tên SP'!B$2:C$1070,2,0)</f>
        <v>NƯỚC GIẶT LIX ĐẬM ĐẶC 3,5KG/T04 TÚI</v>
      </c>
      <c r="F40" s="4">
        <v>88000</v>
      </c>
      <c r="G40">
        <v>1</v>
      </c>
      <c r="H40" s="4">
        <v>88000</v>
      </c>
      <c r="I40" s="4">
        <v>-5000</v>
      </c>
      <c r="J40" s="5">
        <f t="shared" si="0"/>
        <v>83000</v>
      </c>
    </row>
    <row r="41" spans="1:10" x14ac:dyDescent="0.25">
      <c r="A41" s="6">
        <v>40</v>
      </c>
      <c r="B41" t="s">
        <v>1514</v>
      </c>
      <c r="C41" t="s">
        <v>232</v>
      </c>
      <c r="D41" t="s">
        <v>106</v>
      </c>
      <c r="E41" t="str">
        <f>VLOOKUP(D41,'Tên SP'!B$2:C$1070,2,0)</f>
        <v>NƯỚC GIẶT LIX SIÊU SẠCH HOA ANH ĐÀO 2.4KG/T06</v>
      </c>
      <c r="F41" s="4">
        <v>69000</v>
      </c>
      <c r="G41">
        <v>1</v>
      </c>
      <c r="H41" s="4">
        <v>69000</v>
      </c>
      <c r="I41" s="4">
        <v>-1380</v>
      </c>
      <c r="J41" s="5">
        <f t="shared" si="0"/>
        <v>67620</v>
      </c>
    </row>
    <row r="42" spans="1:10" x14ac:dyDescent="0.25">
      <c r="A42" s="6">
        <v>41</v>
      </c>
      <c r="B42" t="s">
        <v>1514</v>
      </c>
      <c r="C42" t="s">
        <v>233</v>
      </c>
      <c r="D42" t="s">
        <v>9</v>
      </c>
      <c r="E42" t="str">
        <f>VLOOKUP(D42,'Tên SP'!B$2:C$1070,2,0)</f>
        <v>NƯỚC GIẶT LIX ĐẬM ĐẶC 3,5KG/T04 TÚI</v>
      </c>
      <c r="F42" s="4">
        <v>88000</v>
      </c>
      <c r="G42">
        <v>1</v>
      </c>
      <c r="H42" s="4">
        <v>88000</v>
      </c>
      <c r="I42" s="4">
        <v>0</v>
      </c>
      <c r="J42" s="5">
        <f t="shared" si="0"/>
        <v>88000</v>
      </c>
    </row>
    <row r="43" spans="1:10" x14ac:dyDescent="0.25">
      <c r="A43" s="6">
        <v>42</v>
      </c>
      <c r="B43" t="s">
        <v>1515</v>
      </c>
      <c r="C43" t="s">
        <v>234</v>
      </c>
      <c r="D43" t="s">
        <v>28</v>
      </c>
      <c r="E43" t="str">
        <f>VLOOKUP(D43,'Tên SP'!B$2:C$1070,2,0)</f>
        <v>NƯỚC XẢ VẢI LIXSOFT HƯƠNG HOA HỒNG 3,6L/C04</v>
      </c>
      <c r="F43" s="4">
        <v>79000</v>
      </c>
      <c r="G43">
        <v>1</v>
      </c>
      <c r="H43" s="4">
        <v>79000</v>
      </c>
      <c r="I43" s="4">
        <v>-200</v>
      </c>
      <c r="J43" s="5">
        <f t="shared" si="0"/>
        <v>78800</v>
      </c>
    </row>
    <row r="44" spans="1:10" x14ac:dyDescent="0.25">
      <c r="A44" s="6">
        <v>43</v>
      </c>
      <c r="B44" t="s">
        <v>1516</v>
      </c>
      <c r="C44" t="s">
        <v>235</v>
      </c>
      <c r="D44" t="s">
        <v>28</v>
      </c>
      <c r="E44" t="str">
        <f>VLOOKUP(D44,'Tên SP'!B$2:C$1070,2,0)</f>
        <v>NƯỚC XẢ VẢI LIXSOFT HƯƠNG HOA HỒNG 3,6L/C04</v>
      </c>
      <c r="F44" s="4">
        <v>79000</v>
      </c>
      <c r="G44">
        <v>1</v>
      </c>
      <c r="H44" s="4">
        <v>79000</v>
      </c>
      <c r="I44" s="4">
        <v>-1580</v>
      </c>
      <c r="J44" s="5">
        <f t="shared" si="0"/>
        <v>77420</v>
      </c>
    </row>
    <row r="45" spans="1:10" x14ac:dyDescent="0.25">
      <c r="A45" s="6">
        <v>44</v>
      </c>
      <c r="B45" t="s">
        <v>1517</v>
      </c>
      <c r="C45" t="s">
        <v>236</v>
      </c>
      <c r="D45" t="s">
        <v>9</v>
      </c>
      <c r="E45" t="str">
        <f>VLOOKUP(D45,'Tên SP'!B$2:C$1070,2,0)</f>
        <v>NƯỚC GIẶT LIX ĐẬM ĐẶC 3,5KG/T04 TÚI</v>
      </c>
      <c r="F45" s="4">
        <v>88000</v>
      </c>
      <c r="G45">
        <v>1</v>
      </c>
      <c r="H45" s="4">
        <v>88000</v>
      </c>
      <c r="I45" s="4">
        <v>-300</v>
      </c>
      <c r="J45" s="5">
        <f t="shared" si="0"/>
        <v>87700</v>
      </c>
    </row>
    <row r="46" spans="1:10" x14ac:dyDescent="0.25">
      <c r="A46" s="6">
        <v>45</v>
      </c>
      <c r="B46" t="s">
        <v>1518</v>
      </c>
      <c r="C46" t="s">
        <v>237</v>
      </c>
      <c r="D46" t="s">
        <v>89</v>
      </c>
      <c r="E46" t="str">
        <f>VLOOKUP(D46,'Tên SP'!B$2:C$1070,2,0)</f>
        <v>NƯỚC RỬA CHÉN SIÊU SẠCH TRÀ 750G/CH12</v>
      </c>
      <c r="F46" s="4">
        <v>19000</v>
      </c>
      <c r="G46">
        <v>1</v>
      </c>
      <c r="H46" s="4">
        <v>19000</v>
      </c>
      <c r="I46" s="4">
        <v>-150</v>
      </c>
      <c r="J46" s="5">
        <f t="shared" si="0"/>
        <v>18850</v>
      </c>
    </row>
    <row r="47" spans="1:10" x14ac:dyDescent="0.25">
      <c r="A47" s="6">
        <v>46</v>
      </c>
      <c r="B47" t="s">
        <v>20</v>
      </c>
      <c r="C47" t="s">
        <v>21</v>
      </c>
      <c r="D47" t="s">
        <v>22</v>
      </c>
      <c r="E47" t="str">
        <f>VLOOKUP(D47,'Tên SP'!B$2:C$1070,2,0)</f>
        <v>NƯỚC TẨY JAVEL LIX 1KG/CH12</v>
      </c>
      <c r="F47" s="4">
        <v>34000</v>
      </c>
      <c r="G47">
        <v>1</v>
      </c>
      <c r="H47" s="4">
        <v>34000</v>
      </c>
      <c r="I47" s="4">
        <v>-1889</v>
      </c>
      <c r="J47" s="5">
        <f t="shared" si="0"/>
        <v>32111</v>
      </c>
    </row>
    <row r="48" spans="1:10" x14ac:dyDescent="0.25">
      <c r="A48" s="6">
        <v>47</v>
      </c>
      <c r="B48" t="s">
        <v>20</v>
      </c>
      <c r="C48" t="s">
        <v>21</v>
      </c>
      <c r="D48" t="s">
        <v>9</v>
      </c>
      <c r="E48" t="str">
        <f>VLOOKUP(D48,'Tên SP'!B$2:C$1070,2,0)</f>
        <v>NƯỚC GIẶT LIX ĐẬM ĐẶC 3,5KG/T04 TÚI</v>
      </c>
      <c r="F48" s="4">
        <v>88000</v>
      </c>
      <c r="G48">
        <v>1</v>
      </c>
      <c r="H48" s="4">
        <v>88000</v>
      </c>
      <c r="I48" s="4">
        <v>-4371</v>
      </c>
      <c r="J48" s="5">
        <f t="shared" si="0"/>
        <v>83629</v>
      </c>
    </row>
    <row r="49" spans="1:10" x14ac:dyDescent="0.25">
      <c r="A49" s="6">
        <v>48</v>
      </c>
      <c r="B49" t="s">
        <v>20</v>
      </c>
      <c r="C49" t="s">
        <v>21</v>
      </c>
      <c r="D49" t="s">
        <v>9</v>
      </c>
      <c r="E49" t="str">
        <f>VLOOKUP(D49,'Tên SP'!B$2:C$1070,2,0)</f>
        <v>NƯỚC GIẶT LIX ĐẬM ĐẶC 3,5KG/T04 TÚI</v>
      </c>
      <c r="F49" s="4">
        <v>88000</v>
      </c>
      <c r="G49">
        <v>1</v>
      </c>
      <c r="H49" s="4">
        <v>88000</v>
      </c>
      <c r="I49" s="4">
        <v>-4370</v>
      </c>
      <c r="J49" s="5">
        <f t="shared" si="0"/>
        <v>83630</v>
      </c>
    </row>
    <row r="50" spans="1:10" x14ac:dyDescent="0.25">
      <c r="A50" s="6">
        <v>49</v>
      </c>
      <c r="B50" t="s">
        <v>20</v>
      </c>
      <c r="C50" t="s">
        <v>21</v>
      </c>
      <c r="D50" t="s">
        <v>23</v>
      </c>
      <c r="E50" t="str">
        <f>VLOOKUP(D50,'Tên SP'!B$2:C$1070,2,0)</f>
        <v>NƯỚC XẢ VẢI LIXSOFT 3,6L/C04</v>
      </c>
      <c r="F50" s="4">
        <v>92000</v>
      </c>
      <c r="G50">
        <v>1</v>
      </c>
      <c r="H50" s="4">
        <v>92000</v>
      </c>
      <c r="I50" s="4">
        <v>-4570</v>
      </c>
      <c r="J50" s="5">
        <f t="shared" si="0"/>
        <v>87430</v>
      </c>
    </row>
    <row r="51" spans="1:10" x14ac:dyDescent="0.25">
      <c r="A51" s="6">
        <v>50</v>
      </c>
      <c r="B51" t="s">
        <v>1519</v>
      </c>
      <c r="C51" t="s">
        <v>238</v>
      </c>
      <c r="D51" t="s">
        <v>9</v>
      </c>
      <c r="E51" t="str">
        <f>VLOOKUP(D51,'Tên SP'!B$2:C$1070,2,0)</f>
        <v>NƯỚC GIẶT LIX ĐẬM ĐẶC 3,5KG/T04 TÚI</v>
      </c>
      <c r="F51" s="4">
        <v>88000</v>
      </c>
      <c r="G51">
        <v>1</v>
      </c>
      <c r="H51" s="4">
        <v>88000</v>
      </c>
      <c r="I51" s="4">
        <v>-250</v>
      </c>
      <c r="J51" s="5">
        <f t="shared" si="0"/>
        <v>87750</v>
      </c>
    </row>
    <row r="52" spans="1:10" x14ac:dyDescent="0.25">
      <c r="A52" s="6">
        <v>51</v>
      </c>
      <c r="B52" t="s">
        <v>1520</v>
      </c>
      <c r="C52" t="s">
        <v>239</v>
      </c>
      <c r="D52" t="s">
        <v>9</v>
      </c>
      <c r="E52" t="str">
        <f>VLOOKUP(D52,'Tên SP'!B$2:C$1070,2,0)</f>
        <v>NƯỚC GIẶT LIX ĐẬM ĐẶC 3,5KG/T04 TÚI</v>
      </c>
      <c r="F52" s="4">
        <v>88000</v>
      </c>
      <c r="G52">
        <v>1</v>
      </c>
      <c r="H52" s="4">
        <v>88000</v>
      </c>
      <c r="I52" s="4">
        <v>-350</v>
      </c>
      <c r="J52" s="5">
        <f t="shared" si="0"/>
        <v>87650</v>
      </c>
    </row>
    <row r="53" spans="1:10" x14ac:dyDescent="0.25">
      <c r="A53" s="6">
        <v>52</v>
      </c>
      <c r="B53" t="s">
        <v>1521</v>
      </c>
      <c r="C53" t="s">
        <v>240</v>
      </c>
      <c r="D53" t="s">
        <v>28</v>
      </c>
      <c r="E53" t="str">
        <f>VLOOKUP(D53,'Tên SP'!B$2:C$1070,2,0)</f>
        <v>NƯỚC XẢ VẢI LIXSOFT HƯƠNG HOA HỒNG 3,6L/C04</v>
      </c>
      <c r="F53" s="4">
        <v>79000</v>
      </c>
      <c r="G53">
        <v>1</v>
      </c>
      <c r="H53" s="4">
        <v>79000</v>
      </c>
      <c r="I53" s="4">
        <v>-1580</v>
      </c>
      <c r="J53" s="5">
        <f t="shared" si="0"/>
        <v>77420</v>
      </c>
    </row>
    <row r="54" spans="1:10" x14ac:dyDescent="0.25">
      <c r="A54" s="6">
        <v>53</v>
      </c>
      <c r="B54" t="s">
        <v>24</v>
      </c>
      <c r="C54" t="s">
        <v>25</v>
      </c>
      <c r="D54" t="s">
        <v>9</v>
      </c>
      <c r="E54" t="str">
        <f>VLOOKUP(D54,'Tên SP'!B$2:C$1070,2,0)</f>
        <v>NƯỚC GIẶT LIX ĐẬM ĐẶC 3,5KG/T04 TÚI</v>
      </c>
      <c r="F54" s="4">
        <v>88000</v>
      </c>
      <c r="G54">
        <v>1</v>
      </c>
      <c r="H54" s="4">
        <v>88000</v>
      </c>
      <c r="I54" s="4">
        <v>-100</v>
      </c>
      <c r="J54" s="5">
        <f t="shared" si="0"/>
        <v>87900</v>
      </c>
    </row>
    <row r="55" spans="1:10" x14ac:dyDescent="0.25">
      <c r="A55" s="6">
        <v>54</v>
      </c>
      <c r="B55" t="s">
        <v>1522</v>
      </c>
      <c r="C55" t="s">
        <v>241</v>
      </c>
      <c r="D55" t="s">
        <v>9</v>
      </c>
      <c r="E55" t="str">
        <f>VLOOKUP(D55,'Tên SP'!B$2:C$1070,2,0)</f>
        <v>NƯỚC GIẶT LIX ĐẬM ĐẶC 3,5KG/T04 TÚI</v>
      </c>
      <c r="F55" s="4">
        <v>88000</v>
      </c>
      <c r="G55">
        <v>1</v>
      </c>
      <c r="H55" s="4">
        <v>88000</v>
      </c>
      <c r="I55" s="4">
        <v>0</v>
      </c>
      <c r="J55" s="5">
        <f t="shared" si="0"/>
        <v>88000</v>
      </c>
    </row>
    <row r="56" spans="1:10" x14ac:dyDescent="0.25">
      <c r="A56" s="6">
        <v>55</v>
      </c>
      <c r="B56" t="s">
        <v>26</v>
      </c>
      <c r="C56" t="s">
        <v>27</v>
      </c>
      <c r="D56" t="s">
        <v>28</v>
      </c>
      <c r="E56" t="str">
        <f>VLOOKUP(D56,'Tên SP'!B$2:C$1070,2,0)</f>
        <v>NƯỚC XẢ VẢI LIXSOFT HƯƠNG HOA HỒNG 3,6L/C04</v>
      </c>
      <c r="F56" s="4">
        <v>79000</v>
      </c>
      <c r="G56">
        <v>1</v>
      </c>
      <c r="H56" s="4">
        <v>79000</v>
      </c>
      <c r="I56" s="4">
        <v>0</v>
      </c>
      <c r="J56" s="5">
        <f t="shared" si="0"/>
        <v>79000</v>
      </c>
    </row>
    <row r="57" spans="1:10" x14ac:dyDescent="0.25">
      <c r="A57" s="6">
        <v>56</v>
      </c>
      <c r="B57" t="s">
        <v>1523</v>
      </c>
      <c r="C57" t="s">
        <v>242</v>
      </c>
      <c r="D57" t="s">
        <v>9</v>
      </c>
      <c r="E57" t="str">
        <f>VLOOKUP(D57,'Tên SP'!B$2:C$1070,2,0)</f>
        <v>NƯỚC GIẶT LIX ĐẬM ĐẶC 3,5KG/T04 TÚI</v>
      </c>
      <c r="F57" s="4">
        <v>88000</v>
      </c>
      <c r="G57">
        <v>1</v>
      </c>
      <c r="H57" s="4">
        <v>88000</v>
      </c>
      <c r="I57" s="4">
        <v>0</v>
      </c>
      <c r="J57" s="5">
        <f t="shared" si="0"/>
        <v>88000</v>
      </c>
    </row>
    <row r="58" spans="1:10" x14ac:dyDescent="0.25">
      <c r="A58" s="6">
        <v>57</v>
      </c>
      <c r="B58" t="s">
        <v>1524</v>
      </c>
      <c r="C58" t="s">
        <v>243</v>
      </c>
      <c r="D58" t="s">
        <v>9</v>
      </c>
      <c r="E58" t="str">
        <f>VLOOKUP(D58,'Tên SP'!B$2:C$1070,2,0)</f>
        <v>NƯỚC GIẶT LIX ĐẬM ĐẶC 3,5KG/T04 TÚI</v>
      </c>
      <c r="F58" s="4">
        <v>88000</v>
      </c>
      <c r="G58">
        <v>1</v>
      </c>
      <c r="H58" s="4">
        <v>88000</v>
      </c>
      <c r="I58" s="4">
        <v>0</v>
      </c>
      <c r="J58" s="5">
        <f t="shared" si="0"/>
        <v>88000</v>
      </c>
    </row>
    <row r="59" spans="1:10" x14ac:dyDescent="0.25">
      <c r="A59" s="6">
        <v>58</v>
      </c>
      <c r="B59" t="s">
        <v>1525</v>
      </c>
      <c r="C59" t="s">
        <v>244</v>
      </c>
      <c r="D59" t="s">
        <v>9</v>
      </c>
      <c r="E59" t="str">
        <f>VLOOKUP(D59,'Tên SP'!B$2:C$1070,2,0)</f>
        <v>NƯỚC GIẶT LIX ĐẬM ĐẶC 3,5KG/T04 TÚI</v>
      </c>
      <c r="F59" s="4">
        <v>88000</v>
      </c>
      <c r="G59">
        <v>1</v>
      </c>
      <c r="H59" s="4">
        <v>88000</v>
      </c>
      <c r="I59" s="4">
        <v>-5083</v>
      </c>
      <c r="J59" s="5">
        <f t="shared" si="0"/>
        <v>82917</v>
      </c>
    </row>
    <row r="60" spans="1:10" x14ac:dyDescent="0.25">
      <c r="A60" s="6">
        <v>59</v>
      </c>
      <c r="B60" t="s">
        <v>1525</v>
      </c>
      <c r="C60" t="s">
        <v>244</v>
      </c>
      <c r="D60" t="s">
        <v>9</v>
      </c>
      <c r="E60" t="str">
        <f>VLOOKUP(D60,'Tên SP'!B$2:C$1070,2,0)</f>
        <v>NƯỚC GIẶT LIX ĐẬM ĐẶC 3,5KG/T04 TÚI</v>
      </c>
      <c r="F60" s="4">
        <v>88000</v>
      </c>
      <c r="G60">
        <v>1</v>
      </c>
      <c r="H60" s="4">
        <v>88000</v>
      </c>
      <c r="I60" s="4">
        <v>-5084</v>
      </c>
      <c r="J60" s="5">
        <f t="shared" si="0"/>
        <v>82916</v>
      </c>
    </row>
    <row r="61" spans="1:10" x14ac:dyDescent="0.25">
      <c r="A61" s="6">
        <v>60</v>
      </c>
      <c r="B61" t="s">
        <v>1525</v>
      </c>
      <c r="C61" t="s">
        <v>244</v>
      </c>
      <c r="D61" t="s">
        <v>9</v>
      </c>
      <c r="E61" t="str">
        <f>VLOOKUP(D61,'Tên SP'!B$2:C$1070,2,0)</f>
        <v>NƯỚC GIẶT LIX ĐẬM ĐẶC 3,5KG/T04 TÚI</v>
      </c>
      <c r="F61" s="4">
        <v>88000</v>
      </c>
      <c r="G61">
        <v>1</v>
      </c>
      <c r="H61" s="4">
        <v>88000</v>
      </c>
      <c r="I61" s="4">
        <v>-5083</v>
      </c>
      <c r="J61" s="5">
        <f t="shared" si="0"/>
        <v>82917</v>
      </c>
    </row>
    <row r="62" spans="1:10" x14ac:dyDescent="0.25">
      <c r="A62" s="6">
        <v>61</v>
      </c>
      <c r="B62" t="s">
        <v>1526</v>
      </c>
      <c r="C62" t="s">
        <v>245</v>
      </c>
      <c r="D62" t="s">
        <v>9</v>
      </c>
      <c r="E62" t="str">
        <f>VLOOKUP(D62,'Tên SP'!B$2:C$1070,2,0)</f>
        <v>NƯỚC GIẶT LIX ĐẬM ĐẶC 3,5KG/T04 TÚI</v>
      </c>
      <c r="F62" s="4">
        <v>88000</v>
      </c>
      <c r="G62">
        <v>1</v>
      </c>
      <c r="H62" s="4">
        <v>88000</v>
      </c>
      <c r="I62" s="4">
        <v>-800</v>
      </c>
      <c r="J62" s="5">
        <f t="shared" si="0"/>
        <v>87200</v>
      </c>
    </row>
    <row r="63" spans="1:10" x14ac:dyDescent="0.25">
      <c r="A63" s="6">
        <v>62</v>
      </c>
      <c r="B63" t="s">
        <v>1527</v>
      </c>
      <c r="C63" t="s">
        <v>246</v>
      </c>
      <c r="D63" t="s">
        <v>106</v>
      </c>
      <c r="E63" t="str">
        <f>VLOOKUP(D63,'Tên SP'!B$2:C$1070,2,0)</f>
        <v>NƯỚC GIẶT LIX SIÊU SẠCH HOA ANH ĐÀO 2.4KG/T06</v>
      </c>
      <c r="F63" s="4">
        <v>69000</v>
      </c>
      <c r="G63">
        <v>1</v>
      </c>
      <c r="H63" s="4">
        <v>69000</v>
      </c>
      <c r="I63" s="4">
        <v>-950</v>
      </c>
      <c r="J63" s="5">
        <f t="shared" si="0"/>
        <v>68050</v>
      </c>
    </row>
    <row r="64" spans="1:10" x14ac:dyDescent="0.25">
      <c r="A64" s="6">
        <v>63</v>
      </c>
      <c r="B64" t="s">
        <v>1528</v>
      </c>
      <c r="C64" t="s">
        <v>247</v>
      </c>
      <c r="D64" t="s">
        <v>28</v>
      </c>
      <c r="E64" t="str">
        <f>VLOOKUP(D64,'Tên SP'!B$2:C$1070,2,0)</f>
        <v>NƯỚC XẢ VẢI LIXSOFT HƯƠNG HOA HỒNG 3,6L/C04</v>
      </c>
      <c r="F64" s="4">
        <v>79000</v>
      </c>
      <c r="G64">
        <v>1</v>
      </c>
      <c r="H64" s="4">
        <v>79000</v>
      </c>
      <c r="I64" s="4">
        <v>0</v>
      </c>
      <c r="J64" s="5">
        <f t="shared" si="0"/>
        <v>79000</v>
      </c>
    </row>
    <row r="65" spans="1:10" x14ac:dyDescent="0.25">
      <c r="A65" s="6">
        <v>64</v>
      </c>
      <c r="B65" t="s">
        <v>1529</v>
      </c>
      <c r="C65" t="s">
        <v>248</v>
      </c>
      <c r="D65" t="s">
        <v>9</v>
      </c>
      <c r="E65" t="str">
        <f>VLOOKUP(D65,'Tên SP'!B$2:C$1070,2,0)</f>
        <v>NƯỚC GIẶT LIX ĐẬM ĐẶC 3,5KG/T04 TÚI</v>
      </c>
      <c r="F65" s="4">
        <v>88000</v>
      </c>
      <c r="G65">
        <v>1</v>
      </c>
      <c r="H65" s="4">
        <v>88000</v>
      </c>
      <c r="I65" s="4">
        <v>0</v>
      </c>
      <c r="J65" s="5">
        <f t="shared" si="0"/>
        <v>88000</v>
      </c>
    </row>
    <row r="66" spans="1:10" x14ac:dyDescent="0.25">
      <c r="A66" s="6">
        <v>65</v>
      </c>
      <c r="B66" t="s">
        <v>1530</v>
      </c>
      <c r="C66" t="s">
        <v>249</v>
      </c>
      <c r="D66" t="s">
        <v>9</v>
      </c>
      <c r="E66" t="str">
        <f>VLOOKUP(D66,'Tên SP'!B$2:C$1070,2,0)</f>
        <v>NƯỚC GIẶT LIX ĐẬM ĐẶC 3,5KG/T04 TÚI</v>
      </c>
      <c r="F66" s="4">
        <v>88000</v>
      </c>
      <c r="G66">
        <v>1</v>
      </c>
      <c r="H66" s="4">
        <v>88000</v>
      </c>
      <c r="I66" s="4">
        <v>-7613</v>
      </c>
      <c r="J66" s="5">
        <f t="shared" si="0"/>
        <v>80387</v>
      </c>
    </row>
    <row r="67" spans="1:10" x14ac:dyDescent="0.25">
      <c r="A67" s="6">
        <v>66</v>
      </c>
      <c r="B67" t="s">
        <v>1530</v>
      </c>
      <c r="C67" t="s">
        <v>249</v>
      </c>
      <c r="D67" t="s">
        <v>9</v>
      </c>
      <c r="E67" t="str">
        <f>VLOOKUP(D67,'Tên SP'!B$2:C$1070,2,0)</f>
        <v>NƯỚC GIẶT LIX ĐẬM ĐẶC 3,5KG/T04 TÚI</v>
      </c>
      <c r="F67" s="4">
        <v>88000</v>
      </c>
      <c r="G67">
        <v>1</v>
      </c>
      <c r="H67" s="4">
        <v>88000</v>
      </c>
      <c r="I67" s="4">
        <v>-7612</v>
      </c>
      <c r="J67" s="5">
        <f t="shared" ref="J67:J130" si="1">H67+I67</f>
        <v>80388</v>
      </c>
    </row>
    <row r="68" spans="1:10" x14ac:dyDescent="0.25">
      <c r="A68" s="6">
        <v>67</v>
      </c>
      <c r="B68" t="s">
        <v>1530</v>
      </c>
      <c r="C68" t="s">
        <v>249</v>
      </c>
      <c r="D68" t="s">
        <v>9</v>
      </c>
      <c r="E68" t="str">
        <f>VLOOKUP(D68,'Tên SP'!B$2:C$1070,2,0)</f>
        <v>NƯỚC GIẶT LIX ĐẬM ĐẶC 3,5KG/T04 TÚI</v>
      </c>
      <c r="F68" s="4">
        <v>88000</v>
      </c>
      <c r="G68">
        <v>1</v>
      </c>
      <c r="H68" s="4">
        <v>88000</v>
      </c>
      <c r="I68" s="4">
        <v>-7613</v>
      </c>
      <c r="J68" s="5">
        <f t="shared" si="1"/>
        <v>80387</v>
      </c>
    </row>
    <row r="69" spans="1:10" x14ac:dyDescent="0.25">
      <c r="A69" s="6">
        <v>68</v>
      </c>
      <c r="B69" t="s">
        <v>1530</v>
      </c>
      <c r="C69" t="s">
        <v>249</v>
      </c>
      <c r="D69" t="s">
        <v>9</v>
      </c>
      <c r="E69" t="str">
        <f>VLOOKUP(D69,'Tên SP'!B$2:C$1070,2,0)</f>
        <v>NƯỚC GIẶT LIX ĐẬM ĐẶC 3,5KG/T04 TÚI</v>
      </c>
      <c r="F69" s="4">
        <v>88000</v>
      </c>
      <c r="G69">
        <v>1</v>
      </c>
      <c r="H69" s="4">
        <v>88000</v>
      </c>
      <c r="I69" s="4">
        <v>-7612</v>
      </c>
      <c r="J69" s="5">
        <f t="shared" si="1"/>
        <v>80388</v>
      </c>
    </row>
    <row r="70" spans="1:10" x14ac:dyDescent="0.25">
      <c r="A70" s="6">
        <v>69</v>
      </c>
      <c r="B70" t="s">
        <v>1531</v>
      </c>
      <c r="C70" t="s">
        <v>250</v>
      </c>
      <c r="D70" t="s">
        <v>28</v>
      </c>
      <c r="E70" t="str">
        <f>VLOOKUP(D70,'Tên SP'!B$2:C$1070,2,0)</f>
        <v>NƯỚC XẢ VẢI LIXSOFT HƯƠNG HOA HỒNG 3,6L/C04</v>
      </c>
      <c r="F70" s="4">
        <v>79000</v>
      </c>
      <c r="G70">
        <v>1</v>
      </c>
      <c r="H70" s="4">
        <v>79000</v>
      </c>
      <c r="I70" s="4">
        <v>-1580</v>
      </c>
      <c r="J70" s="5">
        <f t="shared" si="1"/>
        <v>77420</v>
      </c>
    </row>
    <row r="71" spans="1:10" x14ac:dyDescent="0.25">
      <c r="A71" s="6">
        <v>70</v>
      </c>
      <c r="B71" t="s">
        <v>1532</v>
      </c>
      <c r="C71" t="s">
        <v>251</v>
      </c>
      <c r="D71" t="s">
        <v>9</v>
      </c>
      <c r="E71" t="str">
        <f>VLOOKUP(D71,'Tên SP'!B$2:C$1070,2,0)</f>
        <v>NƯỚC GIẶT LIX ĐẬM ĐẶC 3,5KG/T04 TÚI</v>
      </c>
      <c r="F71" s="4">
        <v>88000</v>
      </c>
      <c r="G71">
        <v>1</v>
      </c>
      <c r="H71" s="4">
        <v>88000</v>
      </c>
      <c r="I71" s="4">
        <v>-3860</v>
      </c>
      <c r="J71" s="5">
        <f t="shared" si="1"/>
        <v>84140</v>
      </c>
    </row>
    <row r="72" spans="1:10" x14ac:dyDescent="0.25">
      <c r="A72" s="6">
        <v>71</v>
      </c>
      <c r="B72" t="s">
        <v>1532</v>
      </c>
      <c r="C72" t="s">
        <v>251</v>
      </c>
      <c r="D72" t="s">
        <v>9</v>
      </c>
      <c r="E72" t="str">
        <f>VLOOKUP(D72,'Tên SP'!B$2:C$1070,2,0)</f>
        <v>NƯỚC GIẶT LIX ĐẬM ĐẶC 3,5KG/T04 TÚI</v>
      </c>
      <c r="F72" s="4">
        <v>88000</v>
      </c>
      <c r="G72">
        <v>1</v>
      </c>
      <c r="H72" s="4">
        <v>88000</v>
      </c>
      <c r="I72" s="4">
        <v>-3859</v>
      </c>
      <c r="J72" s="5">
        <f t="shared" si="1"/>
        <v>84141</v>
      </c>
    </row>
    <row r="73" spans="1:10" x14ac:dyDescent="0.25">
      <c r="A73" s="6">
        <v>72</v>
      </c>
      <c r="B73" t="s">
        <v>1532</v>
      </c>
      <c r="C73" t="s">
        <v>251</v>
      </c>
      <c r="D73" t="s">
        <v>64</v>
      </c>
      <c r="E73" t="str">
        <f>VLOOKUP(D73,'Tên SP'!B$2:C$1070,2,0)</f>
        <v>BỘT GIẶT LIX DD HƯƠNG NƯỚC HOA 5,5KG/03</v>
      </c>
      <c r="F73" s="4">
        <v>166000</v>
      </c>
      <c r="G73">
        <v>1</v>
      </c>
      <c r="H73" s="4">
        <v>166000</v>
      </c>
      <c r="I73" s="4">
        <v>-7531</v>
      </c>
      <c r="J73" s="5">
        <f t="shared" si="1"/>
        <v>158469</v>
      </c>
    </row>
    <row r="74" spans="1:10" x14ac:dyDescent="0.25">
      <c r="A74" s="6">
        <v>73</v>
      </c>
      <c r="B74" t="s">
        <v>1533</v>
      </c>
      <c r="C74" t="s">
        <v>252</v>
      </c>
      <c r="D74" t="s">
        <v>100</v>
      </c>
      <c r="E74" t="str">
        <f>VLOOKUP(D74,'Tên SP'!B$2:C$1070,2,0)</f>
        <v>NƯỚC GIẶT LIX HƯƠNG NƯỚC HOA 3,6KG/C04</v>
      </c>
      <c r="F74" s="4">
        <v>108000</v>
      </c>
      <c r="G74">
        <v>1</v>
      </c>
      <c r="H74" s="4">
        <v>108000</v>
      </c>
      <c r="I74" s="4">
        <v>-450</v>
      </c>
      <c r="J74" s="5">
        <f t="shared" si="1"/>
        <v>107550</v>
      </c>
    </row>
    <row r="75" spans="1:10" x14ac:dyDescent="0.25">
      <c r="A75" s="6">
        <v>74</v>
      </c>
      <c r="B75" t="s">
        <v>1534</v>
      </c>
      <c r="C75" t="s">
        <v>253</v>
      </c>
      <c r="D75" t="s">
        <v>28</v>
      </c>
      <c r="E75" t="str">
        <f>VLOOKUP(D75,'Tên SP'!B$2:C$1070,2,0)</f>
        <v>NƯỚC XẢ VẢI LIXSOFT HƯƠNG HOA HỒNG 3,6L/C04</v>
      </c>
      <c r="F75" s="4">
        <v>79000</v>
      </c>
      <c r="G75">
        <v>1</v>
      </c>
      <c r="H75" s="4">
        <v>79000</v>
      </c>
      <c r="I75" s="4">
        <v>-1580</v>
      </c>
      <c r="J75" s="5">
        <f t="shared" si="1"/>
        <v>77420</v>
      </c>
    </row>
    <row r="76" spans="1:10" x14ac:dyDescent="0.25">
      <c r="A76" s="6">
        <v>75</v>
      </c>
      <c r="B76" t="s">
        <v>1535</v>
      </c>
      <c r="C76" t="s">
        <v>254</v>
      </c>
      <c r="D76" t="s">
        <v>28</v>
      </c>
      <c r="E76" t="str">
        <f>VLOOKUP(D76,'Tên SP'!B$2:C$1070,2,0)</f>
        <v>NƯỚC XẢ VẢI LIXSOFT HƯƠNG HOA HỒNG 3,6L/C04</v>
      </c>
      <c r="F76" s="4">
        <v>79000</v>
      </c>
      <c r="G76">
        <v>1</v>
      </c>
      <c r="H76" s="4">
        <v>79000</v>
      </c>
      <c r="I76" s="4">
        <v>0</v>
      </c>
      <c r="J76" s="5">
        <f t="shared" si="1"/>
        <v>79000</v>
      </c>
    </row>
    <row r="77" spans="1:10" x14ac:dyDescent="0.25">
      <c r="A77" s="6">
        <v>76</v>
      </c>
      <c r="B77" t="s">
        <v>1536</v>
      </c>
      <c r="C77" t="s">
        <v>255</v>
      </c>
      <c r="D77" t="s">
        <v>28</v>
      </c>
      <c r="E77" t="str">
        <f>VLOOKUP(D77,'Tên SP'!B$2:C$1070,2,0)</f>
        <v>NƯỚC XẢ VẢI LIXSOFT HƯƠNG HOA HỒNG 3,6L/C04</v>
      </c>
      <c r="F77" s="4">
        <v>79000</v>
      </c>
      <c r="G77">
        <v>1</v>
      </c>
      <c r="H77" s="4">
        <v>79000</v>
      </c>
      <c r="I77" s="4">
        <v>-1580</v>
      </c>
      <c r="J77" s="5">
        <f t="shared" si="1"/>
        <v>77420</v>
      </c>
    </row>
    <row r="78" spans="1:10" x14ac:dyDescent="0.25">
      <c r="A78" s="6">
        <v>77</v>
      </c>
      <c r="B78" t="s">
        <v>1537</v>
      </c>
      <c r="C78" t="s">
        <v>256</v>
      </c>
      <c r="D78" t="s">
        <v>28</v>
      </c>
      <c r="E78" t="str">
        <f>VLOOKUP(D78,'Tên SP'!B$2:C$1070,2,0)</f>
        <v>NƯỚC XẢ VẢI LIXSOFT HƯƠNG HOA HỒNG 3,6L/C04</v>
      </c>
      <c r="F78" s="4">
        <v>79000</v>
      </c>
      <c r="G78">
        <v>1</v>
      </c>
      <c r="H78" s="4">
        <v>79000</v>
      </c>
      <c r="I78" s="4">
        <v>0</v>
      </c>
      <c r="J78" s="5">
        <f t="shared" si="1"/>
        <v>79000</v>
      </c>
    </row>
    <row r="79" spans="1:10" x14ac:dyDescent="0.25">
      <c r="A79" s="6">
        <v>78</v>
      </c>
      <c r="B79" t="s">
        <v>1538</v>
      </c>
      <c r="C79" t="s">
        <v>257</v>
      </c>
      <c r="D79" t="s">
        <v>9</v>
      </c>
      <c r="E79" t="str">
        <f>VLOOKUP(D79,'Tên SP'!B$2:C$1070,2,0)</f>
        <v>NƯỚC GIẶT LIX ĐẬM ĐẶC 3,5KG/T04 TÚI</v>
      </c>
      <c r="F79" s="4">
        <v>88000</v>
      </c>
      <c r="G79">
        <v>1</v>
      </c>
      <c r="H79" s="4">
        <v>88000</v>
      </c>
      <c r="I79" s="4">
        <v>-850</v>
      </c>
      <c r="J79" s="5">
        <f t="shared" si="1"/>
        <v>87150</v>
      </c>
    </row>
    <row r="80" spans="1:10" x14ac:dyDescent="0.25">
      <c r="A80" s="6">
        <v>79</v>
      </c>
      <c r="B80" t="s">
        <v>1539</v>
      </c>
      <c r="C80" t="s">
        <v>258</v>
      </c>
      <c r="D80" t="s">
        <v>9</v>
      </c>
      <c r="E80" t="str">
        <f>VLOOKUP(D80,'Tên SP'!B$2:C$1070,2,0)</f>
        <v>NƯỚC GIẶT LIX ĐẬM ĐẶC 3,5KG/T04 TÚI</v>
      </c>
      <c r="F80" s="4">
        <v>88000</v>
      </c>
      <c r="G80">
        <v>1</v>
      </c>
      <c r="H80" s="4">
        <v>88000</v>
      </c>
      <c r="I80" s="4">
        <v>-1760</v>
      </c>
      <c r="J80" s="5">
        <f t="shared" si="1"/>
        <v>86240</v>
      </c>
    </row>
    <row r="81" spans="1:10" x14ac:dyDescent="0.25">
      <c r="A81" s="6">
        <v>80</v>
      </c>
      <c r="B81" t="s">
        <v>1540</v>
      </c>
      <c r="C81" t="s">
        <v>259</v>
      </c>
      <c r="D81" t="s">
        <v>9</v>
      </c>
      <c r="E81" t="str">
        <f>VLOOKUP(D81,'Tên SP'!B$2:C$1070,2,0)</f>
        <v>NƯỚC GIẶT LIX ĐẬM ĐẶC 3,5KG/T04 TÚI</v>
      </c>
      <c r="F81" s="4">
        <v>88000</v>
      </c>
      <c r="G81">
        <v>1</v>
      </c>
      <c r="H81" s="4">
        <v>88000</v>
      </c>
      <c r="I81" s="4">
        <v>0</v>
      </c>
      <c r="J81" s="5">
        <f t="shared" si="1"/>
        <v>88000</v>
      </c>
    </row>
    <row r="82" spans="1:10" x14ac:dyDescent="0.25">
      <c r="A82" s="6">
        <v>81</v>
      </c>
      <c r="B82" t="s">
        <v>1541</v>
      </c>
      <c r="C82" t="s">
        <v>260</v>
      </c>
      <c r="D82" t="s">
        <v>9</v>
      </c>
      <c r="E82" t="str">
        <f>VLOOKUP(D82,'Tên SP'!B$2:C$1070,2,0)</f>
        <v>NƯỚC GIẶT LIX ĐẬM ĐẶC 3,5KG/T04 TÚI</v>
      </c>
      <c r="F82" s="4">
        <v>88000</v>
      </c>
      <c r="G82">
        <v>1</v>
      </c>
      <c r="H82" s="4">
        <v>88000</v>
      </c>
      <c r="I82" s="4">
        <v>-3750</v>
      </c>
      <c r="J82" s="5">
        <f t="shared" si="1"/>
        <v>84250</v>
      </c>
    </row>
    <row r="83" spans="1:10" x14ac:dyDescent="0.25">
      <c r="A83" s="6">
        <v>82</v>
      </c>
      <c r="B83" t="s">
        <v>1541</v>
      </c>
      <c r="C83" t="s">
        <v>260</v>
      </c>
      <c r="D83" t="s">
        <v>9</v>
      </c>
      <c r="E83" t="str">
        <f>VLOOKUP(D83,'Tên SP'!B$2:C$1070,2,0)</f>
        <v>NƯỚC GIẶT LIX ĐẬM ĐẶC 3,5KG/T04 TÚI</v>
      </c>
      <c r="F83" s="4">
        <v>88000</v>
      </c>
      <c r="G83">
        <v>1</v>
      </c>
      <c r="H83" s="4">
        <v>88000</v>
      </c>
      <c r="I83" s="4">
        <v>-3750</v>
      </c>
      <c r="J83" s="5">
        <f t="shared" si="1"/>
        <v>84250</v>
      </c>
    </row>
    <row r="84" spans="1:10" x14ac:dyDescent="0.25">
      <c r="A84" s="6">
        <v>83</v>
      </c>
      <c r="B84" t="s">
        <v>1541</v>
      </c>
      <c r="C84" t="s">
        <v>260</v>
      </c>
      <c r="D84" t="s">
        <v>9</v>
      </c>
      <c r="E84" t="str">
        <f>VLOOKUP(D84,'Tên SP'!B$2:C$1070,2,0)</f>
        <v>NƯỚC GIẶT LIX ĐẬM ĐẶC 3,5KG/T04 TÚI</v>
      </c>
      <c r="F84" s="4">
        <v>88000</v>
      </c>
      <c r="G84">
        <v>1</v>
      </c>
      <c r="H84" s="4">
        <v>88000</v>
      </c>
      <c r="I84" s="4">
        <v>-3750</v>
      </c>
      <c r="J84" s="5">
        <f t="shared" si="1"/>
        <v>84250</v>
      </c>
    </row>
    <row r="85" spans="1:10" x14ac:dyDescent="0.25">
      <c r="A85" s="6">
        <v>84</v>
      </c>
      <c r="B85" t="s">
        <v>1541</v>
      </c>
      <c r="C85" t="s">
        <v>260</v>
      </c>
      <c r="D85" t="s">
        <v>9</v>
      </c>
      <c r="E85" t="str">
        <f>VLOOKUP(D85,'Tên SP'!B$2:C$1070,2,0)</f>
        <v>NƯỚC GIẶT LIX ĐẬM ĐẶC 3,5KG/T04 TÚI</v>
      </c>
      <c r="F85" s="4">
        <v>88000</v>
      </c>
      <c r="G85">
        <v>1</v>
      </c>
      <c r="H85" s="4">
        <v>88000</v>
      </c>
      <c r="I85" s="4">
        <v>-3750</v>
      </c>
      <c r="J85" s="5">
        <f t="shared" si="1"/>
        <v>84250</v>
      </c>
    </row>
    <row r="86" spans="1:10" x14ac:dyDescent="0.25">
      <c r="A86" s="6">
        <v>85</v>
      </c>
      <c r="B86" t="s">
        <v>1541</v>
      </c>
      <c r="C86" t="s">
        <v>261</v>
      </c>
      <c r="D86" t="s">
        <v>9</v>
      </c>
      <c r="E86" t="str">
        <f>VLOOKUP(D86,'Tên SP'!B$2:C$1070,2,0)</f>
        <v>NƯỚC GIẶT LIX ĐẬM ĐẶC 3,5KG/T04 TÚI</v>
      </c>
      <c r="F86" s="4">
        <v>88000</v>
      </c>
      <c r="G86">
        <v>1</v>
      </c>
      <c r="H86" s="4">
        <v>88000</v>
      </c>
      <c r="I86" s="4">
        <v>0</v>
      </c>
      <c r="J86" s="5">
        <f t="shared" si="1"/>
        <v>88000</v>
      </c>
    </row>
    <row r="87" spans="1:10" x14ac:dyDescent="0.25">
      <c r="A87" s="6">
        <v>86</v>
      </c>
      <c r="B87" t="s">
        <v>1542</v>
      </c>
      <c r="C87" t="s">
        <v>262</v>
      </c>
      <c r="D87" t="s">
        <v>9</v>
      </c>
      <c r="E87" t="str">
        <f>VLOOKUP(D87,'Tên SP'!B$2:C$1070,2,0)</f>
        <v>NƯỚC GIẶT LIX ĐẬM ĐẶC 3,5KG/T04 TÚI</v>
      </c>
      <c r="F87" s="4">
        <v>88000</v>
      </c>
      <c r="G87">
        <v>1</v>
      </c>
      <c r="H87" s="4">
        <v>88000</v>
      </c>
      <c r="I87" s="4">
        <v>-1760</v>
      </c>
      <c r="J87" s="5">
        <f t="shared" si="1"/>
        <v>86240</v>
      </c>
    </row>
    <row r="88" spans="1:10" x14ac:dyDescent="0.25">
      <c r="A88" s="6">
        <v>87</v>
      </c>
      <c r="B88" t="s">
        <v>1542</v>
      </c>
      <c r="C88" t="s">
        <v>263</v>
      </c>
      <c r="D88" t="s">
        <v>9</v>
      </c>
      <c r="E88" t="str">
        <f>VLOOKUP(D88,'Tên SP'!B$2:C$1070,2,0)</f>
        <v>NƯỚC GIẶT LIX ĐẬM ĐẶC 3,5KG/T04 TÚI</v>
      </c>
      <c r="F88" s="4">
        <v>88000</v>
      </c>
      <c r="G88">
        <v>1</v>
      </c>
      <c r="H88" s="4">
        <v>88000</v>
      </c>
      <c r="I88" s="4">
        <v>-150</v>
      </c>
      <c r="J88" s="5">
        <f t="shared" si="1"/>
        <v>87850</v>
      </c>
    </row>
    <row r="89" spans="1:10" x14ac:dyDescent="0.25">
      <c r="A89" s="6">
        <v>88</v>
      </c>
      <c r="B89" t="s">
        <v>1542</v>
      </c>
      <c r="C89" t="s">
        <v>263</v>
      </c>
      <c r="D89" t="s">
        <v>9</v>
      </c>
      <c r="E89" t="str">
        <f>VLOOKUP(D89,'Tên SP'!B$2:C$1070,2,0)</f>
        <v>NƯỚC GIẶT LIX ĐẬM ĐẶC 3,5KG/T04 TÚI</v>
      </c>
      <c r="F89" s="4">
        <v>88000</v>
      </c>
      <c r="G89">
        <v>1</v>
      </c>
      <c r="H89" s="4">
        <v>88000</v>
      </c>
      <c r="I89" s="4">
        <v>-150</v>
      </c>
      <c r="J89" s="5">
        <f t="shared" si="1"/>
        <v>87850</v>
      </c>
    </row>
    <row r="90" spans="1:10" x14ac:dyDescent="0.25">
      <c r="A90" s="6">
        <v>89</v>
      </c>
      <c r="B90" t="s">
        <v>1543</v>
      </c>
      <c r="C90" t="s">
        <v>264</v>
      </c>
      <c r="D90" t="s">
        <v>23</v>
      </c>
      <c r="E90" t="str">
        <f>VLOOKUP(D90,'Tên SP'!B$2:C$1070,2,0)</f>
        <v>NƯỚC XẢ VẢI LIXSOFT 3,6L/C04</v>
      </c>
      <c r="F90" s="4">
        <v>79000</v>
      </c>
      <c r="G90">
        <v>1</v>
      </c>
      <c r="H90" s="4">
        <v>79000</v>
      </c>
      <c r="I90" s="4">
        <v>0</v>
      </c>
      <c r="J90" s="5">
        <f t="shared" si="1"/>
        <v>79000</v>
      </c>
    </row>
    <row r="91" spans="1:10" x14ac:dyDescent="0.25">
      <c r="A91" s="6">
        <v>90</v>
      </c>
      <c r="B91" t="s">
        <v>1544</v>
      </c>
      <c r="C91" t="s">
        <v>265</v>
      </c>
      <c r="D91" t="s">
        <v>9</v>
      </c>
      <c r="E91" t="str">
        <f>VLOOKUP(D91,'Tên SP'!B$2:C$1070,2,0)</f>
        <v>NƯỚC GIẶT LIX ĐẬM ĐẶC 3,5KG/T04 TÚI</v>
      </c>
      <c r="F91" s="4">
        <v>88000</v>
      </c>
      <c r="G91">
        <v>1</v>
      </c>
      <c r="H91" s="4">
        <v>88000</v>
      </c>
      <c r="I91" s="4">
        <v>0</v>
      </c>
      <c r="J91" s="5">
        <f t="shared" si="1"/>
        <v>88000</v>
      </c>
    </row>
    <row r="92" spans="1:10" x14ac:dyDescent="0.25">
      <c r="A92" s="6">
        <v>91</v>
      </c>
      <c r="B92" t="s">
        <v>1545</v>
      </c>
      <c r="C92" t="s">
        <v>266</v>
      </c>
      <c r="D92" t="s">
        <v>9</v>
      </c>
      <c r="E92" t="str">
        <f>VLOOKUP(D92,'Tên SP'!B$2:C$1070,2,0)</f>
        <v>NƯỚC GIẶT LIX ĐẬM ĐẶC 3,5KG/T04 TÚI</v>
      </c>
      <c r="F92" s="4">
        <v>88000</v>
      </c>
      <c r="G92">
        <v>1</v>
      </c>
      <c r="H92" s="4">
        <v>88000</v>
      </c>
      <c r="I92" s="4">
        <v>-240</v>
      </c>
      <c r="J92" s="5">
        <f t="shared" si="1"/>
        <v>87760</v>
      </c>
    </row>
    <row r="93" spans="1:10" x14ac:dyDescent="0.25">
      <c r="A93" s="6">
        <v>92</v>
      </c>
      <c r="B93" t="s">
        <v>1546</v>
      </c>
      <c r="C93" t="s">
        <v>267</v>
      </c>
      <c r="D93" t="s">
        <v>23</v>
      </c>
      <c r="E93" t="str">
        <f>VLOOKUP(D93,'Tên SP'!B$2:C$1070,2,0)</f>
        <v>NƯỚC XẢ VẢI LIXSOFT 3,6L/C04</v>
      </c>
      <c r="F93" s="4">
        <v>79000</v>
      </c>
      <c r="G93">
        <v>1</v>
      </c>
      <c r="H93" s="4">
        <v>79000</v>
      </c>
      <c r="I93" s="4">
        <v>-1580</v>
      </c>
      <c r="J93" s="5">
        <f t="shared" si="1"/>
        <v>77420</v>
      </c>
    </row>
    <row r="94" spans="1:10" x14ac:dyDescent="0.25">
      <c r="A94" s="6">
        <v>93</v>
      </c>
      <c r="B94" t="s">
        <v>1547</v>
      </c>
      <c r="C94" t="s">
        <v>268</v>
      </c>
      <c r="D94" t="s">
        <v>23</v>
      </c>
      <c r="E94" t="str">
        <f>VLOOKUP(D94,'Tên SP'!B$2:C$1070,2,0)</f>
        <v>NƯỚC XẢ VẢI LIXSOFT 3,6L/C04</v>
      </c>
      <c r="F94" s="4">
        <v>79000</v>
      </c>
      <c r="G94">
        <v>1</v>
      </c>
      <c r="H94" s="4">
        <v>79000</v>
      </c>
      <c r="I94" s="4">
        <v>0</v>
      </c>
      <c r="J94" s="5">
        <f t="shared" si="1"/>
        <v>79000</v>
      </c>
    </row>
    <row r="95" spans="1:10" x14ac:dyDescent="0.25">
      <c r="A95" s="6">
        <v>94</v>
      </c>
      <c r="B95" t="s">
        <v>1548</v>
      </c>
      <c r="C95" t="s">
        <v>269</v>
      </c>
      <c r="D95" t="s">
        <v>23</v>
      </c>
      <c r="E95" t="str">
        <f>VLOOKUP(D95,'Tên SP'!B$2:C$1070,2,0)</f>
        <v>NƯỚC XẢ VẢI LIXSOFT 3,6L/C04</v>
      </c>
      <c r="F95" s="4">
        <v>79000</v>
      </c>
      <c r="G95">
        <v>1</v>
      </c>
      <c r="H95" s="4">
        <v>79000</v>
      </c>
      <c r="I95" s="4">
        <v>-500</v>
      </c>
      <c r="J95" s="5">
        <f t="shared" si="1"/>
        <v>78500</v>
      </c>
    </row>
    <row r="96" spans="1:10" x14ac:dyDescent="0.25">
      <c r="A96" s="6">
        <v>95</v>
      </c>
      <c r="B96" t="s">
        <v>1549</v>
      </c>
      <c r="C96" t="s">
        <v>270</v>
      </c>
      <c r="D96" t="s">
        <v>9</v>
      </c>
      <c r="E96" t="str">
        <f>VLOOKUP(D96,'Tên SP'!B$2:C$1070,2,0)</f>
        <v>NƯỚC GIẶT LIX ĐẬM ĐẶC 3,5KG/T04 TÚI</v>
      </c>
      <c r="F96" s="4">
        <v>88000</v>
      </c>
      <c r="G96">
        <v>1</v>
      </c>
      <c r="H96" s="4">
        <v>88000</v>
      </c>
      <c r="I96" s="4">
        <v>-3952</v>
      </c>
      <c r="J96" s="5">
        <f t="shared" si="1"/>
        <v>84048</v>
      </c>
    </row>
    <row r="97" spans="1:10" x14ac:dyDescent="0.25">
      <c r="A97" s="6">
        <v>96</v>
      </c>
      <c r="B97" t="s">
        <v>1549</v>
      </c>
      <c r="C97" t="s">
        <v>270</v>
      </c>
      <c r="D97" t="s">
        <v>9</v>
      </c>
      <c r="E97" t="str">
        <f>VLOOKUP(D97,'Tên SP'!B$2:C$1070,2,0)</f>
        <v>NƯỚC GIẶT LIX ĐẬM ĐẶC 3,5KG/T04 TÚI</v>
      </c>
      <c r="F97" s="4">
        <v>88000</v>
      </c>
      <c r="G97">
        <v>1</v>
      </c>
      <c r="H97" s="4">
        <v>88000</v>
      </c>
      <c r="I97" s="4">
        <v>-3952</v>
      </c>
      <c r="J97" s="5">
        <f t="shared" si="1"/>
        <v>84048</v>
      </c>
    </row>
    <row r="98" spans="1:10" x14ac:dyDescent="0.25">
      <c r="A98" s="6">
        <v>97</v>
      </c>
      <c r="B98" t="s">
        <v>1549</v>
      </c>
      <c r="C98" t="s">
        <v>270</v>
      </c>
      <c r="D98" t="s">
        <v>23</v>
      </c>
      <c r="E98" t="str">
        <f>VLOOKUP(D98,'Tên SP'!B$2:C$1070,2,0)</f>
        <v>NƯỚC XẢ VẢI LIXSOFT 3,6L/C04</v>
      </c>
      <c r="F98" s="4">
        <v>79000</v>
      </c>
      <c r="G98">
        <v>1</v>
      </c>
      <c r="H98" s="4">
        <v>79000</v>
      </c>
      <c r="I98" s="4">
        <v>-3548</v>
      </c>
      <c r="J98" s="5">
        <f t="shared" si="1"/>
        <v>75452</v>
      </c>
    </row>
    <row r="99" spans="1:10" x14ac:dyDescent="0.25">
      <c r="A99" s="6">
        <v>98</v>
      </c>
      <c r="B99" t="s">
        <v>1549</v>
      </c>
      <c r="C99" t="s">
        <v>270</v>
      </c>
      <c r="D99" t="s">
        <v>23</v>
      </c>
      <c r="E99" t="str">
        <f>VLOOKUP(D99,'Tên SP'!B$2:C$1070,2,0)</f>
        <v>NƯỚC XẢ VẢI LIXSOFT 3,6L/C04</v>
      </c>
      <c r="F99" s="4">
        <v>79000</v>
      </c>
      <c r="G99">
        <v>1</v>
      </c>
      <c r="H99" s="4">
        <v>79000</v>
      </c>
      <c r="I99" s="4">
        <v>-3548</v>
      </c>
      <c r="J99" s="5">
        <f t="shared" si="1"/>
        <v>75452</v>
      </c>
    </row>
    <row r="100" spans="1:10" x14ac:dyDescent="0.25">
      <c r="A100" s="6">
        <v>99</v>
      </c>
      <c r="B100" t="s">
        <v>1550</v>
      </c>
      <c r="C100" t="s">
        <v>271</v>
      </c>
      <c r="D100" t="s">
        <v>9</v>
      </c>
      <c r="E100" t="str">
        <f>VLOOKUP(D100,'Tên SP'!B$2:C$1070,2,0)</f>
        <v>NƯỚC GIẶT LIX ĐẬM ĐẶC 3,5KG/T04 TÚI</v>
      </c>
      <c r="F100" s="4">
        <v>88000</v>
      </c>
      <c r="G100">
        <v>1</v>
      </c>
      <c r="H100" s="4">
        <v>88000</v>
      </c>
      <c r="I100" s="4">
        <v>-1400</v>
      </c>
      <c r="J100" s="5">
        <f t="shared" si="1"/>
        <v>86600</v>
      </c>
    </row>
    <row r="101" spans="1:10" x14ac:dyDescent="0.25">
      <c r="A101" s="6">
        <v>100</v>
      </c>
      <c r="B101" t="s">
        <v>1551</v>
      </c>
      <c r="C101" t="s">
        <v>272</v>
      </c>
      <c r="D101" t="s">
        <v>9</v>
      </c>
      <c r="E101" t="str">
        <f>VLOOKUP(D101,'Tên SP'!B$2:C$1070,2,0)</f>
        <v>NƯỚC GIẶT LIX ĐẬM ĐẶC 3,5KG/T04 TÚI</v>
      </c>
      <c r="F101" s="4">
        <v>88000</v>
      </c>
      <c r="G101">
        <v>1</v>
      </c>
      <c r="H101" s="4">
        <v>88000</v>
      </c>
      <c r="I101" s="4">
        <v>-1760</v>
      </c>
      <c r="J101" s="5">
        <f t="shared" si="1"/>
        <v>86240</v>
      </c>
    </row>
    <row r="102" spans="1:10" x14ac:dyDescent="0.25">
      <c r="A102" s="6">
        <v>101</v>
      </c>
      <c r="B102" t="s">
        <v>1552</v>
      </c>
      <c r="C102" t="s">
        <v>273</v>
      </c>
      <c r="D102" t="s">
        <v>23</v>
      </c>
      <c r="E102" t="str">
        <f>VLOOKUP(D102,'Tên SP'!B$2:C$1070,2,0)</f>
        <v>NƯỚC XẢ VẢI LIXSOFT 3,6L/C04</v>
      </c>
      <c r="F102" s="4">
        <v>79000</v>
      </c>
      <c r="G102">
        <v>1</v>
      </c>
      <c r="H102" s="4">
        <v>79000</v>
      </c>
      <c r="I102" s="4">
        <v>-300</v>
      </c>
      <c r="J102" s="5">
        <f t="shared" si="1"/>
        <v>78700</v>
      </c>
    </row>
    <row r="103" spans="1:10" x14ac:dyDescent="0.25">
      <c r="A103" s="6">
        <v>102</v>
      </c>
      <c r="B103" t="s">
        <v>1553</v>
      </c>
      <c r="C103" t="s">
        <v>274</v>
      </c>
      <c r="D103" t="s">
        <v>23</v>
      </c>
      <c r="E103" t="str">
        <f>VLOOKUP(D103,'Tên SP'!B$2:C$1070,2,0)</f>
        <v>NƯỚC XẢ VẢI LIXSOFT 3,6L/C04</v>
      </c>
      <c r="F103" s="4">
        <v>79000</v>
      </c>
      <c r="G103">
        <v>1</v>
      </c>
      <c r="H103" s="4">
        <v>79000</v>
      </c>
      <c r="I103" s="4">
        <v>-400</v>
      </c>
      <c r="J103" s="5">
        <f t="shared" si="1"/>
        <v>78600</v>
      </c>
    </row>
    <row r="104" spans="1:10" x14ac:dyDescent="0.25">
      <c r="A104" s="6">
        <v>103</v>
      </c>
      <c r="B104" t="s">
        <v>1554</v>
      </c>
      <c r="C104" t="s">
        <v>275</v>
      </c>
      <c r="D104" t="s">
        <v>23</v>
      </c>
      <c r="E104" t="str">
        <f>VLOOKUP(D104,'Tên SP'!B$2:C$1070,2,0)</f>
        <v>NƯỚC XẢ VẢI LIXSOFT 3,6L/C04</v>
      </c>
      <c r="F104" s="4">
        <v>79000</v>
      </c>
      <c r="G104">
        <v>1</v>
      </c>
      <c r="H104" s="4">
        <v>79000</v>
      </c>
      <c r="I104" s="4">
        <v>-1150</v>
      </c>
      <c r="J104" s="5">
        <f t="shared" si="1"/>
        <v>77850</v>
      </c>
    </row>
    <row r="105" spans="1:10" x14ac:dyDescent="0.25">
      <c r="A105" s="6">
        <v>104</v>
      </c>
      <c r="B105" t="s">
        <v>1555</v>
      </c>
      <c r="C105" t="s">
        <v>276</v>
      </c>
      <c r="D105" t="s">
        <v>23</v>
      </c>
      <c r="E105" t="str">
        <f>VLOOKUP(D105,'Tên SP'!B$2:C$1070,2,0)</f>
        <v>NƯỚC XẢ VẢI LIXSOFT 3,6L/C04</v>
      </c>
      <c r="F105" s="4">
        <v>79000</v>
      </c>
      <c r="G105">
        <v>1</v>
      </c>
      <c r="H105" s="4">
        <v>79000</v>
      </c>
      <c r="I105" s="4">
        <v>-300</v>
      </c>
      <c r="J105" s="5">
        <f t="shared" si="1"/>
        <v>78700</v>
      </c>
    </row>
    <row r="106" spans="1:10" x14ac:dyDescent="0.25">
      <c r="A106" s="6">
        <v>105</v>
      </c>
      <c r="B106" t="s">
        <v>1556</v>
      </c>
      <c r="C106" t="s">
        <v>277</v>
      </c>
      <c r="D106" t="s">
        <v>23</v>
      </c>
      <c r="E106" t="str">
        <f>VLOOKUP(D106,'Tên SP'!B$2:C$1070,2,0)</f>
        <v>NƯỚC XẢ VẢI LIXSOFT 3,6L/C04</v>
      </c>
      <c r="F106" s="4">
        <v>79000</v>
      </c>
      <c r="G106">
        <v>1</v>
      </c>
      <c r="H106" s="4">
        <v>79000</v>
      </c>
      <c r="I106" s="4">
        <v>-300</v>
      </c>
      <c r="J106" s="5">
        <f t="shared" si="1"/>
        <v>78700</v>
      </c>
    </row>
    <row r="107" spans="1:10" x14ac:dyDescent="0.25">
      <c r="A107" s="6">
        <v>106</v>
      </c>
      <c r="B107" t="s">
        <v>1557</v>
      </c>
      <c r="C107" t="s">
        <v>278</v>
      </c>
      <c r="D107" t="s">
        <v>23</v>
      </c>
      <c r="E107" t="str">
        <f>VLOOKUP(D107,'Tên SP'!B$2:C$1070,2,0)</f>
        <v>NƯỚC XẢ VẢI LIXSOFT 3,6L/C04</v>
      </c>
      <c r="F107" s="4">
        <v>79000</v>
      </c>
      <c r="G107">
        <v>1</v>
      </c>
      <c r="H107" s="4">
        <v>79000</v>
      </c>
      <c r="I107" s="4">
        <v>-1580</v>
      </c>
      <c r="J107" s="5">
        <f t="shared" si="1"/>
        <v>77420</v>
      </c>
    </row>
    <row r="108" spans="1:10" x14ac:dyDescent="0.25">
      <c r="A108" s="6">
        <v>107</v>
      </c>
      <c r="B108" t="s">
        <v>1558</v>
      </c>
      <c r="C108" t="s">
        <v>279</v>
      </c>
      <c r="D108" t="s">
        <v>9</v>
      </c>
      <c r="E108" t="str">
        <f>VLOOKUP(D108,'Tên SP'!B$2:C$1070,2,0)</f>
        <v>NƯỚC GIẶT LIX ĐẬM ĐẶC 3,5KG/T04 TÚI</v>
      </c>
      <c r="F108" s="4">
        <v>105000</v>
      </c>
      <c r="G108">
        <v>1</v>
      </c>
      <c r="H108" s="4">
        <v>105000</v>
      </c>
      <c r="I108" s="4">
        <v>0</v>
      </c>
      <c r="J108" s="5">
        <f t="shared" si="1"/>
        <v>105000</v>
      </c>
    </row>
    <row r="109" spans="1:10" x14ac:dyDescent="0.25">
      <c r="A109" s="6">
        <v>108</v>
      </c>
      <c r="B109" t="s">
        <v>1558</v>
      </c>
      <c r="C109" t="s">
        <v>279</v>
      </c>
      <c r="D109" t="s">
        <v>9</v>
      </c>
      <c r="E109" t="str">
        <f>VLOOKUP(D109,'Tên SP'!B$2:C$1070,2,0)</f>
        <v>NƯỚC GIẶT LIX ĐẬM ĐẶC 3,5KG/T04 TÚI</v>
      </c>
      <c r="F109" s="4">
        <v>105000</v>
      </c>
      <c r="G109">
        <v>1</v>
      </c>
      <c r="H109" s="4">
        <v>105000</v>
      </c>
      <c r="I109" s="4">
        <v>0</v>
      </c>
      <c r="J109" s="5">
        <f t="shared" si="1"/>
        <v>105000</v>
      </c>
    </row>
    <row r="110" spans="1:10" x14ac:dyDescent="0.25">
      <c r="A110" s="6">
        <v>109</v>
      </c>
      <c r="B110" t="s">
        <v>1559</v>
      </c>
      <c r="C110" t="s">
        <v>280</v>
      </c>
      <c r="D110" t="s">
        <v>23</v>
      </c>
      <c r="E110" t="str">
        <f>VLOOKUP(D110,'Tên SP'!B$2:C$1070,2,0)</f>
        <v>NƯỚC XẢ VẢI LIXSOFT 3,6L/C04</v>
      </c>
      <c r="F110" s="4">
        <v>79000</v>
      </c>
      <c r="G110">
        <v>1</v>
      </c>
      <c r="H110" s="4">
        <v>79000</v>
      </c>
      <c r="I110" s="4">
        <v>-3465</v>
      </c>
      <c r="J110" s="5">
        <f t="shared" si="1"/>
        <v>75535</v>
      </c>
    </row>
    <row r="111" spans="1:10" x14ac:dyDescent="0.25">
      <c r="A111" s="6">
        <v>110</v>
      </c>
      <c r="B111" t="s">
        <v>1559</v>
      </c>
      <c r="C111" t="s">
        <v>280</v>
      </c>
      <c r="D111" t="s">
        <v>23</v>
      </c>
      <c r="E111" t="str">
        <f>VLOOKUP(D111,'Tên SP'!B$2:C$1070,2,0)</f>
        <v>NƯỚC XẢ VẢI LIXSOFT 3,6L/C04</v>
      </c>
      <c r="F111" s="4">
        <v>79000</v>
      </c>
      <c r="G111">
        <v>1</v>
      </c>
      <c r="H111" s="4">
        <v>79000</v>
      </c>
      <c r="I111" s="4">
        <v>-3465</v>
      </c>
      <c r="J111" s="5">
        <f t="shared" si="1"/>
        <v>75535</v>
      </c>
    </row>
    <row r="112" spans="1:10" x14ac:dyDescent="0.25">
      <c r="A112" s="6">
        <v>111</v>
      </c>
      <c r="B112" t="s">
        <v>1559</v>
      </c>
      <c r="C112" t="s">
        <v>280</v>
      </c>
      <c r="D112" t="s">
        <v>28</v>
      </c>
      <c r="E112" t="str">
        <f>VLOOKUP(D112,'Tên SP'!B$2:C$1070,2,0)</f>
        <v>NƯỚC XẢ VẢI LIXSOFT HƯƠNG HOA HỒNG 3,6L/C04</v>
      </c>
      <c r="F112" s="4">
        <v>92000</v>
      </c>
      <c r="G112">
        <v>1</v>
      </c>
      <c r="H112" s="4">
        <v>92000</v>
      </c>
      <c r="I112" s="4">
        <v>-4035</v>
      </c>
      <c r="J112" s="5">
        <f t="shared" si="1"/>
        <v>87965</v>
      </c>
    </row>
    <row r="113" spans="1:10" x14ac:dyDescent="0.25">
      <c r="A113" s="6">
        <v>112</v>
      </c>
      <c r="B113" t="s">
        <v>1559</v>
      </c>
      <c r="C113" t="s">
        <v>280</v>
      </c>
      <c r="D113" t="s">
        <v>28</v>
      </c>
      <c r="E113" t="str">
        <f>VLOOKUP(D113,'Tên SP'!B$2:C$1070,2,0)</f>
        <v>NƯỚC XẢ VẢI LIXSOFT HƯƠNG HOA HỒNG 3,6L/C04</v>
      </c>
      <c r="F113" s="4">
        <v>92000</v>
      </c>
      <c r="G113">
        <v>1</v>
      </c>
      <c r="H113" s="4">
        <v>92000</v>
      </c>
      <c r="I113" s="4">
        <v>-4035</v>
      </c>
      <c r="J113" s="5">
        <f t="shared" si="1"/>
        <v>87965</v>
      </c>
    </row>
    <row r="114" spans="1:10" x14ac:dyDescent="0.25">
      <c r="A114" s="6">
        <v>113</v>
      </c>
      <c r="B114" t="s">
        <v>1560</v>
      </c>
      <c r="C114" t="s">
        <v>281</v>
      </c>
      <c r="D114" t="s">
        <v>9</v>
      </c>
      <c r="E114" t="str">
        <f>VLOOKUP(D114,'Tên SP'!B$2:C$1070,2,0)</f>
        <v>NƯỚC GIẶT LIX ĐẬM ĐẶC 3,5KG/T04 TÚI</v>
      </c>
      <c r="F114" s="4">
        <v>105000</v>
      </c>
      <c r="G114">
        <v>1</v>
      </c>
      <c r="H114" s="4">
        <v>105000</v>
      </c>
      <c r="I114" s="4">
        <v>-300</v>
      </c>
      <c r="J114" s="5">
        <f t="shared" si="1"/>
        <v>104700</v>
      </c>
    </row>
    <row r="115" spans="1:10" x14ac:dyDescent="0.25">
      <c r="A115" s="6">
        <v>114</v>
      </c>
      <c r="B115" t="s">
        <v>1561</v>
      </c>
      <c r="C115" t="s">
        <v>282</v>
      </c>
      <c r="D115" t="s">
        <v>23</v>
      </c>
      <c r="E115" t="str">
        <f>VLOOKUP(D115,'Tên SP'!B$2:C$1070,2,0)</f>
        <v>NƯỚC XẢ VẢI LIXSOFT 3,6L/C04</v>
      </c>
      <c r="F115" s="4">
        <v>79000</v>
      </c>
      <c r="G115">
        <v>1</v>
      </c>
      <c r="H115" s="4">
        <v>79000</v>
      </c>
      <c r="I115" s="4">
        <v>-300</v>
      </c>
      <c r="J115" s="5">
        <f t="shared" si="1"/>
        <v>78700</v>
      </c>
    </row>
    <row r="116" spans="1:10" x14ac:dyDescent="0.25">
      <c r="A116" s="6">
        <v>115</v>
      </c>
      <c r="B116" t="s">
        <v>1562</v>
      </c>
      <c r="C116" t="s">
        <v>283</v>
      </c>
      <c r="D116" t="s">
        <v>104</v>
      </c>
      <c r="E116" t="str">
        <f>VLOOKUP(D116,'Tên SP'!B$2:C$1070,2,0)</f>
        <v>NƯỚC GIẶT LIX ĐẬM ĐẶC 2KG/C06</v>
      </c>
      <c r="F116" s="4">
        <v>69000</v>
      </c>
      <c r="G116">
        <v>1</v>
      </c>
      <c r="H116" s="4">
        <v>69000</v>
      </c>
      <c r="I116" s="4">
        <v>0</v>
      </c>
      <c r="J116" s="5">
        <f t="shared" si="1"/>
        <v>69000</v>
      </c>
    </row>
    <row r="117" spans="1:10" x14ac:dyDescent="0.25">
      <c r="A117" s="6">
        <v>116</v>
      </c>
      <c r="B117" t="s">
        <v>1562</v>
      </c>
      <c r="C117" t="s">
        <v>283</v>
      </c>
      <c r="D117" t="s">
        <v>89</v>
      </c>
      <c r="E117" t="str">
        <f>VLOOKUP(D117,'Tên SP'!B$2:C$1070,2,0)</f>
        <v>NƯỚC RỬA CHÉN SIÊU SẠCH TRÀ 750G/CH12</v>
      </c>
      <c r="F117" s="4">
        <v>19000</v>
      </c>
      <c r="G117">
        <v>1</v>
      </c>
      <c r="H117" s="4">
        <v>19000</v>
      </c>
      <c r="I117" s="4">
        <v>0</v>
      </c>
      <c r="J117" s="5">
        <f t="shared" si="1"/>
        <v>19000</v>
      </c>
    </row>
    <row r="118" spans="1:10" x14ac:dyDescent="0.25">
      <c r="A118" s="6">
        <v>117</v>
      </c>
      <c r="B118" t="s">
        <v>1563</v>
      </c>
      <c r="C118" t="s">
        <v>284</v>
      </c>
      <c r="D118" t="s">
        <v>23</v>
      </c>
      <c r="E118" t="str">
        <f>VLOOKUP(D118,'Tên SP'!B$2:C$1070,2,0)</f>
        <v>NƯỚC XẢ VẢI LIXSOFT 3,6L/C04</v>
      </c>
      <c r="F118" s="4">
        <v>79000</v>
      </c>
      <c r="G118">
        <v>1</v>
      </c>
      <c r="H118" s="4">
        <v>79000</v>
      </c>
      <c r="I118" s="4">
        <v>-100</v>
      </c>
      <c r="J118" s="5">
        <f t="shared" si="1"/>
        <v>78900</v>
      </c>
    </row>
    <row r="119" spans="1:10" x14ac:dyDescent="0.25">
      <c r="A119" s="6">
        <v>118</v>
      </c>
      <c r="B119" t="s">
        <v>1564</v>
      </c>
      <c r="C119" t="s">
        <v>285</v>
      </c>
      <c r="D119" t="s">
        <v>97</v>
      </c>
      <c r="E119" t="str">
        <f>VLOOKUP(D119,'Tên SP'!B$2:C$1070,2,0)</f>
        <v>NƯỚC GIẶT LIX ĐẬM ĐẶC 3,6KG/C04</v>
      </c>
      <c r="F119" s="4">
        <v>120000</v>
      </c>
      <c r="G119">
        <v>1</v>
      </c>
      <c r="H119" s="4">
        <v>120000</v>
      </c>
      <c r="I119" s="4">
        <v>0</v>
      </c>
      <c r="J119" s="5">
        <f t="shared" si="1"/>
        <v>120000</v>
      </c>
    </row>
    <row r="120" spans="1:10" x14ac:dyDescent="0.25">
      <c r="A120" s="6">
        <v>119</v>
      </c>
      <c r="B120" t="s">
        <v>1565</v>
      </c>
      <c r="C120" t="s">
        <v>286</v>
      </c>
      <c r="D120" t="s">
        <v>23</v>
      </c>
      <c r="E120" t="str">
        <f>VLOOKUP(D120,'Tên SP'!B$2:C$1070,2,0)</f>
        <v>NƯỚC XẢ VẢI LIXSOFT 3,6L/C04</v>
      </c>
      <c r="F120" s="4">
        <v>79000</v>
      </c>
      <c r="G120">
        <v>1</v>
      </c>
      <c r="H120" s="4">
        <v>79000</v>
      </c>
      <c r="I120" s="4">
        <v>0</v>
      </c>
      <c r="J120" s="5">
        <f t="shared" si="1"/>
        <v>79000</v>
      </c>
    </row>
    <row r="121" spans="1:10" x14ac:dyDescent="0.25">
      <c r="A121" s="6">
        <v>120</v>
      </c>
      <c r="B121" t="s">
        <v>1566</v>
      </c>
      <c r="C121" t="s">
        <v>287</v>
      </c>
      <c r="D121" t="s">
        <v>9</v>
      </c>
      <c r="E121" t="str">
        <f>VLOOKUP(D121,'Tên SP'!B$2:C$1070,2,0)</f>
        <v>NƯỚC GIẶT LIX ĐẬM ĐẶC 3,5KG/T04 TÚI</v>
      </c>
      <c r="F121" s="4">
        <v>105000</v>
      </c>
      <c r="G121">
        <v>1</v>
      </c>
      <c r="H121" s="4">
        <v>105000</v>
      </c>
      <c r="I121" s="4">
        <v>-800</v>
      </c>
      <c r="J121" s="5">
        <f t="shared" si="1"/>
        <v>104200</v>
      </c>
    </row>
    <row r="122" spans="1:10" x14ac:dyDescent="0.25">
      <c r="A122" s="6">
        <v>121</v>
      </c>
      <c r="B122" t="s">
        <v>1566</v>
      </c>
      <c r="C122" t="s">
        <v>287</v>
      </c>
      <c r="D122" t="s">
        <v>9</v>
      </c>
      <c r="E122" t="str">
        <f>VLOOKUP(D122,'Tên SP'!B$2:C$1070,2,0)</f>
        <v>NƯỚC GIẶT LIX ĐẬM ĐẶC 3,5KG/T04 TÚI</v>
      </c>
      <c r="F122" s="4">
        <v>105000</v>
      </c>
      <c r="G122">
        <v>1</v>
      </c>
      <c r="H122" s="4">
        <v>105000</v>
      </c>
      <c r="I122" s="4">
        <v>-800</v>
      </c>
      <c r="J122" s="5">
        <f t="shared" si="1"/>
        <v>104200</v>
      </c>
    </row>
    <row r="123" spans="1:10" x14ac:dyDescent="0.25">
      <c r="A123" s="6">
        <v>122</v>
      </c>
      <c r="B123" t="s">
        <v>1567</v>
      </c>
      <c r="C123" t="s">
        <v>288</v>
      </c>
      <c r="D123" t="s">
        <v>23</v>
      </c>
      <c r="E123" t="str">
        <f>VLOOKUP(D123,'Tên SP'!B$2:C$1070,2,0)</f>
        <v>NƯỚC XẢ VẢI LIXSOFT 3,6L/C04</v>
      </c>
      <c r="F123" s="4">
        <v>79000</v>
      </c>
      <c r="G123">
        <v>1</v>
      </c>
      <c r="H123" s="4">
        <v>79000</v>
      </c>
      <c r="I123" s="4">
        <v>0</v>
      </c>
      <c r="J123" s="5">
        <f t="shared" si="1"/>
        <v>79000</v>
      </c>
    </row>
    <row r="124" spans="1:10" x14ac:dyDescent="0.25">
      <c r="A124" s="6">
        <v>123</v>
      </c>
      <c r="B124" t="s">
        <v>1568</v>
      </c>
      <c r="C124" t="s">
        <v>289</v>
      </c>
      <c r="D124" t="s">
        <v>9</v>
      </c>
      <c r="E124" t="str">
        <f>VLOOKUP(D124,'Tên SP'!B$2:C$1070,2,0)</f>
        <v>NƯỚC GIẶT LIX ĐẬM ĐẶC 3,5KG/T04 TÚI</v>
      </c>
      <c r="F124" s="4">
        <v>105000</v>
      </c>
      <c r="G124">
        <v>1</v>
      </c>
      <c r="H124" s="4">
        <v>105000</v>
      </c>
      <c r="I124" s="4">
        <v>0</v>
      </c>
      <c r="J124" s="5">
        <f t="shared" si="1"/>
        <v>105000</v>
      </c>
    </row>
    <row r="125" spans="1:10" x14ac:dyDescent="0.25">
      <c r="A125" s="6">
        <v>124</v>
      </c>
      <c r="B125" t="s">
        <v>1569</v>
      </c>
      <c r="C125" t="s">
        <v>290</v>
      </c>
      <c r="D125" t="s">
        <v>9</v>
      </c>
      <c r="E125" t="str">
        <f>VLOOKUP(D125,'Tên SP'!B$2:C$1070,2,0)</f>
        <v>NƯỚC GIẶT LIX ĐẬM ĐẶC 3,5KG/T04 TÚI</v>
      </c>
      <c r="F125" s="4">
        <v>105000</v>
      </c>
      <c r="G125">
        <v>1</v>
      </c>
      <c r="H125" s="4">
        <v>105000</v>
      </c>
      <c r="I125" s="4">
        <v>-100</v>
      </c>
      <c r="J125" s="5">
        <f t="shared" si="1"/>
        <v>104900</v>
      </c>
    </row>
    <row r="126" spans="1:10" x14ac:dyDescent="0.25">
      <c r="A126" s="6">
        <v>125</v>
      </c>
      <c r="B126" t="s">
        <v>1570</v>
      </c>
      <c r="C126" t="s">
        <v>291</v>
      </c>
      <c r="D126" t="s">
        <v>23</v>
      </c>
      <c r="E126" t="str">
        <f>VLOOKUP(D126,'Tên SP'!B$2:C$1070,2,0)</f>
        <v>NƯỚC XẢ VẢI LIXSOFT 3,6L/C04</v>
      </c>
      <c r="F126" s="4">
        <v>79000</v>
      </c>
      <c r="G126">
        <v>1</v>
      </c>
      <c r="H126" s="4">
        <v>79000</v>
      </c>
      <c r="I126" s="4">
        <v>0</v>
      </c>
      <c r="J126" s="5">
        <f t="shared" si="1"/>
        <v>79000</v>
      </c>
    </row>
    <row r="127" spans="1:10" x14ac:dyDescent="0.25">
      <c r="A127" s="6">
        <v>126</v>
      </c>
      <c r="B127" t="s">
        <v>1571</v>
      </c>
      <c r="C127" t="s">
        <v>292</v>
      </c>
      <c r="D127" t="s">
        <v>23</v>
      </c>
      <c r="E127" t="str">
        <f>VLOOKUP(D127,'Tên SP'!B$2:C$1070,2,0)</f>
        <v>NƯỚC XẢ VẢI LIXSOFT 3,6L/C04</v>
      </c>
      <c r="F127" s="4">
        <v>79000</v>
      </c>
      <c r="G127">
        <v>1</v>
      </c>
      <c r="H127" s="4">
        <v>79000</v>
      </c>
      <c r="I127" s="4">
        <v>-300</v>
      </c>
      <c r="J127" s="5">
        <f t="shared" si="1"/>
        <v>78700</v>
      </c>
    </row>
    <row r="128" spans="1:10" x14ac:dyDescent="0.25">
      <c r="A128" s="6">
        <v>127</v>
      </c>
      <c r="B128" t="s">
        <v>1572</v>
      </c>
      <c r="C128" t="s">
        <v>293</v>
      </c>
      <c r="D128" t="s">
        <v>23</v>
      </c>
      <c r="E128" t="str">
        <f>VLOOKUP(D128,'Tên SP'!B$2:C$1070,2,0)</f>
        <v>NƯỚC XẢ VẢI LIXSOFT 3,6L/C04</v>
      </c>
      <c r="F128" s="4">
        <v>79000</v>
      </c>
      <c r="G128">
        <v>1</v>
      </c>
      <c r="H128" s="4">
        <v>79000</v>
      </c>
      <c r="I128" s="4">
        <v>-300</v>
      </c>
      <c r="J128" s="5">
        <f t="shared" si="1"/>
        <v>78700</v>
      </c>
    </row>
    <row r="129" spans="1:10" x14ac:dyDescent="0.25">
      <c r="A129" s="6">
        <v>128</v>
      </c>
      <c r="B129" t="s">
        <v>1572</v>
      </c>
      <c r="C129" t="s">
        <v>293</v>
      </c>
      <c r="D129" t="s">
        <v>23</v>
      </c>
      <c r="E129" t="str">
        <f>VLOOKUP(D129,'Tên SP'!B$2:C$1070,2,0)</f>
        <v>NƯỚC XẢ VẢI LIXSOFT 3,6L/C04</v>
      </c>
      <c r="F129" s="4">
        <v>79000</v>
      </c>
      <c r="G129">
        <v>1</v>
      </c>
      <c r="H129" s="4">
        <v>79000</v>
      </c>
      <c r="I129" s="4">
        <v>-300</v>
      </c>
      <c r="J129" s="5">
        <f t="shared" si="1"/>
        <v>78700</v>
      </c>
    </row>
    <row r="130" spans="1:10" x14ac:dyDescent="0.25">
      <c r="A130" s="6">
        <v>129</v>
      </c>
      <c r="B130" t="s">
        <v>1573</v>
      </c>
      <c r="C130" t="s">
        <v>294</v>
      </c>
      <c r="D130" t="s">
        <v>23</v>
      </c>
      <c r="E130" t="str">
        <f>VLOOKUP(D130,'Tên SP'!B$2:C$1070,2,0)</f>
        <v>NƯỚC XẢ VẢI LIXSOFT 3,6L/C04</v>
      </c>
      <c r="F130" s="4">
        <v>79000</v>
      </c>
      <c r="G130">
        <v>1</v>
      </c>
      <c r="H130" s="4">
        <v>79000</v>
      </c>
      <c r="I130" s="4">
        <v>-10000</v>
      </c>
      <c r="J130" s="5">
        <f t="shared" si="1"/>
        <v>69000</v>
      </c>
    </row>
    <row r="131" spans="1:10" x14ac:dyDescent="0.25">
      <c r="A131" s="6">
        <v>130</v>
      </c>
      <c r="B131" t="s">
        <v>1574</v>
      </c>
      <c r="C131" t="s">
        <v>295</v>
      </c>
      <c r="D131" t="s">
        <v>23</v>
      </c>
      <c r="E131" t="str">
        <f>VLOOKUP(D131,'Tên SP'!B$2:C$1070,2,0)</f>
        <v>NƯỚC XẢ VẢI LIXSOFT 3,6L/C04</v>
      </c>
      <c r="F131" s="4">
        <v>79000</v>
      </c>
      <c r="G131">
        <v>1</v>
      </c>
      <c r="H131" s="4">
        <v>79000</v>
      </c>
      <c r="I131" s="4">
        <v>0</v>
      </c>
      <c r="J131" s="5">
        <f t="shared" ref="J131:J194" si="2">H131+I131</f>
        <v>79000</v>
      </c>
    </row>
    <row r="132" spans="1:10" x14ac:dyDescent="0.25">
      <c r="A132" s="6">
        <v>131</v>
      </c>
      <c r="B132" t="s">
        <v>1575</v>
      </c>
      <c r="C132" t="s">
        <v>296</v>
      </c>
      <c r="D132" t="s">
        <v>23</v>
      </c>
      <c r="E132" t="str">
        <f>VLOOKUP(D132,'Tên SP'!B$2:C$1070,2,0)</f>
        <v>NƯỚC XẢ VẢI LIXSOFT 3,6L/C04</v>
      </c>
      <c r="F132" s="4">
        <v>79000</v>
      </c>
      <c r="G132">
        <v>1</v>
      </c>
      <c r="H132" s="4">
        <v>79000</v>
      </c>
      <c r="I132" s="4">
        <v>-700</v>
      </c>
      <c r="J132" s="5">
        <f t="shared" si="2"/>
        <v>78300</v>
      </c>
    </row>
    <row r="133" spans="1:10" x14ac:dyDescent="0.25">
      <c r="A133" s="6">
        <v>132</v>
      </c>
      <c r="B133" t="s">
        <v>1576</v>
      </c>
      <c r="C133" t="s">
        <v>297</v>
      </c>
      <c r="D133" t="s">
        <v>184</v>
      </c>
      <c r="E133" t="str">
        <f>VLOOKUP(D133,'Tên SP'!B$2:C$1070,2,0)</f>
        <v>GEL DIỆT KHUẨN TAY ON1 60ML/CH80</v>
      </c>
      <c r="F133" s="4">
        <v>25000</v>
      </c>
      <c r="G133">
        <v>1</v>
      </c>
      <c r="H133" s="4">
        <v>25000</v>
      </c>
      <c r="I133" s="4">
        <v>-100</v>
      </c>
      <c r="J133" s="5">
        <f t="shared" si="2"/>
        <v>24900</v>
      </c>
    </row>
    <row r="134" spans="1:10" x14ac:dyDescent="0.25">
      <c r="A134" s="6">
        <v>133</v>
      </c>
      <c r="B134" t="s">
        <v>1576</v>
      </c>
      <c r="C134" t="s">
        <v>297</v>
      </c>
      <c r="D134" t="s">
        <v>23</v>
      </c>
      <c r="E134" t="str">
        <f>VLOOKUP(D134,'Tên SP'!B$2:C$1070,2,0)</f>
        <v>NƯỚC XẢ VẢI LIXSOFT 3,6L/C04</v>
      </c>
      <c r="F134" s="4">
        <v>79000</v>
      </c>
      <c r="G134">
        <v>1</v>
      </c>
      <c r="H134" s="4">
        <v>79000</v>
      </c>
      <c r="I134" s="4">
        <v>0</v>
      </c>
      <c r="J134" s="5">
        <f t="shared" si="2"/>
        <v>79000</v>
      </c>
    </row>
    <row r="135" spans="1:10" x14ac:dyDescent="0.25">
      <c r="A135" s="6">
        <v>134</v>
      </c>
      <c r="B135" t="s">
        <v>1577</v>
      </c>
      <c r="C135" t="s">
        <v>298</v>
      </c>
      <c r="D135" t="s">
        <v>23</v>
      </c>
      <c r="E135" t="str">
        <f>VLOOKUP(D135,'Tên SP'!B$2:C$1070,2,0)</f>
        <v>NƯỚC XẢ VẢI LIXSOFT 3,6L/C04</v>
      </c>
      <c r="F135" s="4">
        <v>79000</v>
      </c>
      <c r="G135">
        <v>1</v>
      </c>
      <c r="H135" s="4">
        <v>79000</v>
      </c>
      <c r="I135" s="4">
        <v>-11580</v>
      </c>
      <c r="J135" s="5">
        <f t="shared" si="2"/>
        <v>67420</v>
      </c>
    </row>
    <row r="136" spans="1:10" x14ac:dyDescent="0.25">
      <c r="A136" s="6">
        <v>135</v>
      </c>
      <c r="B136" t="s">
        <v>1578</v>
      </c>
      <c r="C136" t="s">
        <v>299</v>
      </c>
      <c r="D136" t="s">
        <v>9</v>
      </c>
      <c r="E136" t="str">
        <f>VLOOKUP(D136,'Tên SP'!B$2:C$1070,2,0)</f>
        <v>NƯỚC GIẶT LIX ĐẬM ĐẶC 3,5KG/T04 TÚI</v>
      </c>
      <c r="F136" s="4">
        <v>88000</v>
      </c>
      <c r="G136">
        <v>1</v>
      </c>
      <c r="H136" s="4">
        <v>88000</v>
      </c>
      <c r="I136" s="4">
        <v>-100</v>
      </c>
      <c r="J136" s="5">
        <f t="shared" si="2"/>
        <v>87900</v>
      </c>
    </row>
    <row r="137" spans="1:10" x14ac:dyDescent="0.25">
      <c r="A137" s="6">
        <v>136</v>
      </c>
      <c r="B137" t="s">
        <v>1579</v>
      </c>
      <c r="C137" t="s">
        <v>300</v>
      </c>
      <c r="D137" t="s">
        <v>9</v>
      </c>
      <c r="E137" t="str">
        <f>VLOOKUP(D137,'Tên SP'!B$2:C$1070,2,0)</f>
        <v>NƯỚC GIẶT LIX ĐẬM ĐẶC 3,5KG/T04 TÚI</v>
      </c>
      <c r="F137" s="4">
        <v>88000</v>
      </c>
      <c r="G137">
        <v>1</v>
      </c>
      <c r="H137" s="4">
        <v>88000</v>
      </c>
      <c r="I137" s="4">
        <v>0</v>
      </c>
      <c r="J137" s="5">
        <f t="shared" si="2"/>
        <v>88000</v>
      </c>
    </row>
    <row r="138" spans="1:10" x14ac:dyDescent="0.25">
      <c r="A138" s="6">
        <v>137</v>
      </c>
      <c r="B138" t="s">
        <v>1580</v>
      </c>
      <c r="C138" t="s">
        <v>301</v>
      </c>
      <c r="D138" t="s">
        <v>94</v>
      </c>
      <c r="E138" t="str">
        <f>VLOOKUP(D138,'Tên SP'!B$2:C$1070,2,0)</f>
        <v>NƯỚC LAU SÀN ĐUỔI CÔN TRÙNG LIX 2L/C08</v>
      </c>
      <c r="F138" s="4">
        <v>55000</v>
      </c>
      <c r="G138">
        <v>1</v>
      </c>
      <c r="H138" s="4">
        <v>55000</v>
      </c>
      <c r="I138" s="4">
        <v>-150</v>
      </c>
      <c r="J138" s="5">
        <f t="shared" si="2"/>
        <v>54850</v>
      </c>
    </row>
    <row r="139" spans="1:10" x14ac:dyDescent="0.25">
      <c r="A139" s="6">
        <v>138</v>
      </c>
      <c r="B139" t="s">
        <v>1580</v>
      </c>
      <c r="C139" t="s">
        <v>301</v>
      </c>
      <c r="D139" t="s">
        <v>106</v>
      </c>
      <c r="E139" t="str">
        <f>VLOOKUP(D139,'Tên SP'!B$2:C$1070,2,0)</f>
        <v>NƯỚC GIẶT LIX SIÊU SẠCH HOA ANH ĐÀO 2.4KG/T06</v>
      </c>
      <c r="F139" s="4">
        <v>69000</v>
      </c>
      <c r="G139">
        <v>1</v>
      </c>
      <c r="H139" s="4">
        <v>69000</v>
      </c>
      <c r="I139" s="4">
        <v>0</v>
      </c>
      <c r="J139" s="5">
        <f t="shared" si="2"/>
        <v>69000</v>
      </c>
    </row>
    <row r="140" spans="1:10" x14ac:dyDescent="0.25">
      <c r="A140" s="6">
        <v>139</v>
      </c>
      <c r="B140" t="s">
        <v>1581</v>
      </c>
      <c r="C140" t="s">
        <v>302</v>
      </c>
      <c r="D140" t="s">
        <v>9</v>
      </c>
      <c r="E140" t="str">
        <f>VLOOKUP(D140,'Tên SP'!B$2:C$1070,2,0)</f>
        <v>NƯỚC GIẶT LIX ĐẬM ĐẶC 3,5KG/T04 TÚI</v>
      </c>
      <c r="F140" s="4">
        <v>88000</v>
      </c>
      <c r="G140">
        <v>1</v>
      </c>
      <c r="H140" s="4">
        <v>88000</v>
      </c>
      <c r="I140" s="4">
        <v>-1760</v>
      </c>
      <c r="J140" s="5">
        <f t="shared" si="2"/>
        <v>86240</v>
      </c>
    </row>
    <row r="141" spans="1:10" x14ac:dyDescent="0.25">
      <c r="A141" s="6">
        <v>140</v>
      </c>
      <c r="B141" t="s">
        <v>1582</v>
      </c>
      <c r="C141" t="s">
        <v>303</v>
      </c>
      <c r="D141" t="s">
        <v>9</v>
      </c>
      <c r="E141" t="str">
        <f>VLOOKUP(D141,'Tên SP'!B$2:C$1070,2,0)</f>
        <v>NƯỚC GIẶT LIX ĐẬM ĐẶC 3,5KG/T04 TÚI</v>
      </c>
      <c r="F141" s="4">
        <v>88000</v>
      </c>
      <c r="G141">
        <v>1</v>
      </c>
      <c r="H141" s="4">
        <v>88000</v>
      </c>
      <c r="I141" s="4">
        <v>0</v>
      </c>
      <c r="J141" s="5">
        <f t="shared" si="2"/>
        <v>88000</v>
      </c>
    </row>
    <row r="142" spans="1:10" x14ac:dyDescent="0.25">
      <c r="A142" s="6">
        <v>141</v>
      </c>
      <c r="B142" t="s">
        <v>1583</v>
      </c>
      <c r="C142" t="s">
        <v>304</v>
      </c>
      <c r="D142" t="s">
        <v>9</v>
      </c>
      <c r="E142" t="str">
        <f>VLOOKUP(D142,'Tên SP'!B$2:C$1070,2,0)</f>
        <v>NƯỚC GIẶT LIX ĐẬM ĐẶC 3,5KG/T04 TÚI</v>
      </c>
      <c r="F142" s="4">
        <v>88000</v>
      </c>
      <c r="G142">
        <v>1</v>
      </c>
      <c r="H142" s="4">
        <v>88000</v>
      </c>
      <c r="I142" s="4">
        <v>-1220</v>
      </c>
      <c r="J142" s="5">
        <f t="shared" si="2"/>
        <v>86780</v>
      </c>
    </row>
    <row r="143" spans="1:10" x14ac:dyDescent="0.25">
      <c r="A143" s="6">
        <v>142</v>
      </c>
      <c r="B143" t="s">
        <v>1584</v>
      </c>
      <c r="C143" t="s">
        <v>305</v>
      </c>
      <c r="D143" t="s">
        <v>9</v>
      </c>
      <c r="E143" t="str">
        <f>VLOOKUP(D143,'Tên SP'!B$2:C$1070,2,0)</f>
        <v>NƯỚC GIẶT LIX ĐẬM ĐẶC 3,5KG/T04 TÚI</v>
      </c>
      <c r="F143" s="4">
        <v>88000</v>
      </c>
      <c r="G143">
        <v>1</v>
      </c>
      <c r="H143" s="4">
        <v>88000</v>
      </c>
      <c r="I143" s="4">
        <v>-25</v>
      </c>
      <c r="J143" s="5">
        <f t="shared" si="2"/>
        <v>87975</v>
      </c>
    </row>
    <row r="144" spans="1:10" x14ac:dyDescent="0.25">
      <c r="A144" s="6">
        <v>143</v>
      </c>
      <c r="B144" t="s">
        <v>1584</v>
      </c>
      <c r="C144" t="s">
        <v>305</v>
      </c>
      <c r="D144" t="s">
        <v>9</v>
      </c>
      <c r="E144" t="str">
        <f>VLOOKUP(D144,'Tên SP'!B$2:C$1070,2,0)</f>
        <v>NƯỚC GIẶT LIX ĐẬM ĐẶC 3,5KG/T04 TÚI</v>
      </c>
      <c r="F144" s="4">
        <v>88000</v>
      </c>
      <c r="G144">
        <v>1</v>
      </c>
      <c r="H144" s="4">
        <v>88000</v>
      </c>
      <c r="I144" s="4">
        <v>-25</v>
      </c>
      <c r="J144" s="5">
        <f t="shared" si="2"/>
        <v>87975</v>
      </c>
    </row>
    <row r="145" spans="1:10" x14ac:dyDescent="0.25">
      <c r="A145" s="6">
        <v>144</v>
      </c>
      <c r="B145" t="s">
        <v>1584</v>
      </c>
      <c r="C145" t="s">
        <v>305</v>
      </c>
      <c r="D145" t="s">
        <v>9</v>
      </c>
      <c r="E145" t="str">
        <f>VLOOKUP(D145,'Tên SP'!B$2:C$1070,2,0)</f>
        <v>NƯỚC GIẶT LIX ĐẬM ĐẶC 3,5KG/T04 TÚI</v>
      </c>
      <c r="F145" s="4">
        <v>88000</v>
      </c>
      <c r="G145">
        <v>1</v>
      </c>
      <c r="H145" s="4">
        <v>88000</v>
      </c>
      <c r="I145" s="4">
        <v>-25</v>
      </c>
      <c r="J145" s="5">
        <f t="shared" si="2"/>
        <v>87975</v>
      </c>
    </row>
    <row r="146" spans="1:10" x14ac:dyDescent="0.25">
      <c r="A146" s="6">
        <v>145</v>
      </c>
      <c r="B146" t="s">
        <v>1584</v>
      </c>
      <c r="C146" t="s">
        <v>305</v>
      </c>
      <c r="D146" t="s">
        <v>9</v>
      </c>
      <c r="E146" t="str">
        <f>VLOOKUP(D146,'Tên SP'!B$2:C$1070,2,0)</f>
        <v>NƯỚC GIẶT LIX ĐẬM ĐẶC 3,5KG/T04 TÚI</v>
      </c>
      <c r="F146" s="4">
        <v>88000</v>
      </c>
      <c r="G146">
        <v>1</v>
      </c>
      <c r="H146" s="4">
        <v>88000</v>
      </c>
      <c r="I146" s="4">
        <v>-25</v>
      </c>
      <c r="J146" s="5">
        <f t="shared" si="2"/>
        <v>87975</v>
      </c>
    </row>
    <row r="147" spans="1:10" x14ac:dyDescent="0.25">
      <c r="A147" s="6">
        <v>146</v>
      </c>
      <c r="B147" t="s">
        <v>1585</v>
      </c>
      <c r="C147" t="s">
        <v>306</v>
      </c>
      <c r="D147" t="s">
        <v>9</v>
      </c>
      <c r="E147" t="str">
        <f>VLOOKUP(D147,'Tên SP'!B$2:C$1070,2,0)</f>
        <v>NƯỚC GIẶT LIX ĐẬM ĐẶC 3,5KG/T04 TÚI</v>
      </c>
      <c r="F147" s="4">
        <v>88000</v>
      </c>
      <c r="G147">
        <v>1</v>
      </c>
      <c r="H147" s="4">
        <v>88000</v>
      </c>
      <c r="I147" s="4">
        <v>-100</v>
      </c>
      <c r="J147" s="5">
        <f t="shared" si="2"/>
        <v>87900</v>
      </c>
    </row>
    <row r="148" spans="1:10" x14ac:dyDescent="0.25">
      <c r="A148" s="6">
        <v>147</v>
      </c>
      <c r="B148" t="s">
        <v>1586</v>
      </c>
      <c r="C148" t="s">
        <v>307</v>
      </c>
      <c r="D148" t="s">
        <v>31</v>
      </c>
      <c r="E148" t="str">
        <f>VLOOKUP(D148,'Tên SP'!B$2:C$1070,2,0)</f>
        <v>BỘT GIẶT LIXE 5,5KG/03</v>
      </c>
      <c r="F148" s="4">
        <v>145000</v>
      </c>
      <c r="G148">
        <v>1</v>
      </c>
      <c r="H148" s="4">
        <v>145000</v>
      </c>
      <c r="I148" s="4">
        <v>-12900</v>
      </c>
      <c r="J148" s="5">
        <f t="shared" si="2"/>
        <v>132100</v>
      </c>
    </row>
    <row r="149" spans="1:10" x14ac:dyDescent="0.25">
      <c r="A149" s="6">
        <v>148</v>
      </c>
      <c r="B149" t="s">
        <v>1587</v>
      </c>
      <c r="C149" t="s">
        <v>308</v>
      </c>
      <c r="D149" t="s">
        <v>9</v>
      </c>
      <c r="E149" t="str">
        <f>VLOOKUP(D149,'Tên SP'!B$2:C$1070,2,0)</f>
        <v>NƯỚC GIẶT LIX ĐẬM ĐẶC 3,5KG/T04 TÚI</v>
      </c>
      <c r="F149" s="4">
        <v>88000</v>
      </c>
      <c r="G149">
        <v>1</v>
      </c>
      <c r="H149" s="4">
        <v>88000</v>
      </c>
      <c r="I149" s="4">
        <v>0</v>
      </c>
      <c r="J149" s="5">
        <f t="shared" si="2"/>
        <v>88000</v>
      </c>
    </row>
    <row r="150" spans="1:10" x14ac:dyDescent="0.25">
      <c r="A150" s="6">
        <v>149</v>
      </c>
      <c r="B150" t="s">
        <v>1587</v>
      </c>
      <c r="C150" t="s">
        <v>308</v>
      </c>
      <c r="D150" t="s">
        <v>9</v>
      </c>
      <c r="E150" t="str">
        <f>VLOOKUP(D150,'Tên SP'!B$2:C$1070,2,0)</f>
        <v>NƯỚC GIẶT LIX ĐẬM ĐẶC 3,5KG/T04 TÚI</v>
      </c>
      <c r="F150" s="4">
        <v>88000</v>
      </c>
      <c r="G150">
        <v>1</v>
      </c>
      <c r="H150" s="4">
        <v>88000</v>
      </c>
      <c r="I150" s="4">
        <v>0</v>
      </c>
      <c r="J150" s="5">
        <f t="shared" si="2"/>
        <v>88000</v>
      </c>
    </row>
    <row r="151" spans="1:10" x14ac:dyDescent="0.25">
      <c r="A151" s="6">
        <v>150</v>
      </c>
      <c r="B151" t="s">
        <v>1588</v>
      </c>
      <c r="C151" t="s">
        <v>309</v>
      </c>
      <c r="D151" t="s">
        <v>9</v>
      </c>
      <c r="E151" t="str">
        <f>VLOOKUP(D151,'Tên SP'!B$2:C$1070,2,0)</f>
        <v>NƯỚC GIẶT LIX ĐẬM ĐẶC 3,5KG/T04 TÚI</v>
      </c>
      <c r="F151" s="4">
        <v>88000</v>
      </c>
      <c r="G151">
        <v>1</v>
      </c>
      <c r="H151" s="4">
        <v>88000</v>
      </c>
      <c r="I151" s="4">
        <v>0</v>
      </c>
      <c r="J151" s="5">
        <f t="shared" si="2"/>
        <v>88000</v>
      </c>
    </row>
    <row r="152" spans="1:10" x14ac:dyDescent="0.25">
      <c r="A152" s="6">
        <v>151</v>
      </c>
      <c r="B152" t="s">
        <v>1589</v>
      </c>
      <c r="C152" t="s">
        <v>310</v>
      </c>
      <c r="D152" t="s">
        <v>9</v>
      </c>
      <c r="E152" t="str">
        <f>VLOOKUP(D152,'Tên SP'!B$2:C$1070,2,0)</f>
        <v>NƯỚC GIẶT LIX ĐẬM ĐẶC 3,5KG/T04 TÚI</v>
      </c>
      <c r="F152" s="4">
        <v>88000</v>
      </c>
      <c r="G152">
        <v>1</v>
      </c>
      <c r="H152" s="4">
        <v>88000</v>
      </c>
      <c r="I152" s="4">
        <v>0</v>
      </c>
      <c r="J152" s="5">
        <f t="shared" si="2"/>
        <v>88000</v>
      </c>
    </row>
    <row r="153" spans="1:10" x14ac:dyDescent="0.25">
      <c r="A153" s="6">
        <v>152</v>
      </c>
      <c r="B153" t="s">
        <v>1590</v>
      </c>
      <c r="C153" t="s">
        <v>311</v>
      </c>
      <c r="D153" t="s">
        <v>9</v>
      </c>
      <c r="E153" t="str">
        <f>VLOOKUP(D153,'Tên SP'!B$2:C$1070,2,0)</f>
        <v>NƯỚC GIẶT LIX ĐẬM ĐẶC 3,5KG/T04 TÚI</v>
      </c>
      <c r="F153" s="4">
        <v>88000</v>
      </c>
      <c r="G153">
        <v>1</v>
      </c>
      <c r="H153" s="4">
        <v>88000</v>
      </c>
      <c r="I153" s="4">
        <v>0</v>
      </c>
      <c r="J153" s="5">
        <f t="shared" si="2"/>
        <v>88000</v>
      </c>
    </row>
    <row r="154" spans="1:10" x14ac:dyDescent="0.25">
      <c r="A154" s="6">
        <v>153</v>
      </c>
      <c r="B154" t="s">
        <v>1591</v>
      </c>
      <c r="C154" t="s">
        <v>312</v>
      </c>
      <c r="D154" t="s">
        <v>9</v>
      </c>
      <c r="E154" t="str">
        <f>VLOOKUP(D154,'Tên SP'!B$2:C$1070,2,0)</f>
        <v>NƯỚC GIẶT LIX ĐẬM ĐẶC 3,5KG/T04 TÚI</v>
      </c>
      <c r="F154" s="4">
        <v>88000</v>
      </c>
      <c r="G154">
        <v>1</v>
      </c>
      <c r="H154" s="4">
        <v>88000</v>
      </c>
      <c r="I154" s="4">
        <v>0</v>
      </c>
      <c r="J154" s="5">
        <f t="shared" si="2"/>
        <v>88000</v>
      </c>
    </row>
    <row r="155" spans="1:10" x14ac:dyDescent="0.25">
      <c r="A155" s="6">
        <v>154</v>
      </c>
      <c r="B155" t="s">
        <v>1592</v>
      </c>
      <c r="C155" t="s">
        <v>313</v>
      </c>
      <c r="D155" t="s">
        <v>104</v>
      </c>
      <c r="E155" t="str">
        <f>VLOOKUP(D155,'Tên SP'!B$2:C$1070,2,0)</f>
        <v>NƯỚC GIẶT LIX ĐẬM ĐẶC 2KG/C06</v>
      </c>
      <c r="F155" s="4">
        <v>69000</v>
      </c>
      <c r="G155">
        <v>1</v>
      </c>
      <c r="H155" s="4">
        <v>69000</v>
      </c>
      <c r="I155" s="4">
        <v>0</v>
      </c>
      <c r="J155" s="5">
        <f t="shared" si="2"/>
        <v>69000</v>
      </c>
    </row>
    <row r="156" spans="1:10" x14ac:dyDescent="0.25">
      <c r="A156" s="6">
        <v>155</v>
      </c>
      <c r="B156" t="s">
        <v>1593</v>
      </c>
      <c r="C156" t="s">
        <v>314</v>
      </c>
      <c r="D156" t="s">
        <v>28</v>
      </c>
      <c r="E156" t="str">
        <f>VLOOKUP(D156,'Tên SP'!B$2:C$1070,2,0)</f>
        <v>NƯỚC XẢ VẢI LIXSOFT HƯƠNG HOA HỒNG 3,6L/C04</v>
      </c>
      <c r="F156" s="4">
        <v>92000</v>
      </c>
      <c r="G156">
        <v>1</v>
      </c>
      <c r="H156" s="4">
        <v>92000</v>
      </c>
      <c r="I156" s="4">
        <v>0</v>
      </c>
      <c r="J156" s="5">
        <f t="shared" si="2"/>
        <v>92000</v>
      </c>
    </row>
    <row r="157" spans="1:10" x14ac:dyDescent="0.25">
      <c r="A157" s="6">
        <v>156</v>
      </c>
      <c r="B157" t="s">
        <v>1594</v>
      </c>
      <c r="C157" t="s">
        <v>315</v>
      </c>
      <c r="D157" t="s">
        <v>102</v>
      </c>
      <c r="E157" t="str">
        <f>VLOOKUP(D157,'Tên SP'!B$2:C$1070,2,0)</f>
        <v>NƯỚC GIẶT LIX HƯƠNG NƯỚC HOA 3,5KG/T04 TÚI</v>
      </c>
      <c r="F157" s="4">
        <v>102900</v>
      </c>
      <c r="G157">
        <v>1</v>
      </c>
      <c r="H157" s="4">
        <v>102900</v>
      </c>
      <c r="I157" s="4">
        <v>0</v>
      </c>
      <c r="J157" s="5">
        <f t="shared" si="2"/>
        <v>102900</v>
      </c>
    </row>
    <row r="158" spans="1:10" x14ac:dyDescent="0.25">
      <c r="A158" s="6">
        <v>157</v>
      </c>
      <c r="B158" t="s">
        <v>1595</v>
      </c>
      <c r="C158" t="s">
        <v>316</v>
      </c>
      <c r="D158" t="s">
        <v>9</v>
      </c>
      <c r="E158" t="str">
        <f>VLOOKUP(D158,'Tên SP'!B$2:C$1070,2,0)</f>
        <v>NƯỚC GIẶT LIX ĐẬM ĐẶC 3,5KG/T04 TÚI</v>
      </c>
      <c r="F158" s="4">
        <v>88000</v>
      </c>
      <c r="G158">
        <v>1</v>
      </c>
      <c r="H158" s="4">
        <v>88000</v>
      </c>
      <c r="I158" s="4">
        <v>-500</v>
      </c>
      <c r="J158" s="5">
        <f t="shared" si="2"/>
        <v>87500</v>
      </c>
    </row>
    <row r="159" spans="1:10" x14ac:dyDescent="0.25">
      <c r="A159" s="6">
        <v>158</v>
      </c>
      <c r="B159" t="s">
        <v>1596</v>
      </c>
      <c r="C159" t="s">
        <v>317</v>
      </c>
      <c r="D159" t="s">
        <v>9</v>
      </c>
      <c r="E159" t="str">
        <f>VLOOKUP(D159,'Tên SP'!B$2:C$1070,2,0)</f>
        <v>NƯỚC GIẶT LIX ĐẬM ĐẶC 3,5KG/T04 TÚI</v>
      </c>
      <c r="F159" s="4">
        <v>88000</v>
      </c>
      <c r="G159">
        <v>1</v>
      </c>
      <c r="H159" s="4">
        <v>88000</v>
      </c>
      <c r="I159" s="4">
        <v>-550</v>
      </c>
      <c r="J159" s="5">
        <f t="shared" si="2"/>
        <v>87450</v>
      </c>
    </row>
    <row r="160" spans="1:10" x14ac:dyDescent="0.25">
      <c r="A160" s="6">
        <v>159</v>
      </c>
      <c r="B160" t="s">
        <v>1597</v>
      </c>
      <c r="C160" t="s">
        <v>318</v>
      </c>
      <c r="D160" t="s">
        <v>9</v>
      </c>
      <c r="E160" t="str">
        <f>VLOOKUP(D160,'Tên SP'!B$2:C$1070,2,0)</f>
        <v>NƯỚC GIẶT LIX ĐẬM ĐẶC 3,5KG/T04 TÚI</v>
      </c>
      <c r="F160" s="4">
        <v>88000</v>
      </c>
      <c r="G160">
        <v>1</v>
      </c>
      <c r="H160" s="4">
        <v>88000</v>
      </c>
      <c r="I160" s="4">
        <v>-11400</v>
      </c>
      <c r="J160" s="5">
        <f t="shared" si="2"/>
        <v>76600</v>
      </c>
    </row>
    <row r="161" spans="1:10" x14ac:dyDescent="0.25">
      <c r="A161" s="6">
        <v>160</v>
      </c>
      <c r="B161" t="s">
        <v>1598</v>
      </c>
      <c r="C161" t="s">
        <v>319</v>
      </c>
      <c r="D161" t="s">
        <v>9</v>
      </c>
      <c r="E161" t="str">
        <f>VLOOKUP(D161,'Tên SP'!B$2:C$1070,2,0)</f>
        <v>NƯỚC GIẶT LIX ĐẬM ĐẶC 3,5KG/T04 TÚI</v>
      </c>
      <c r="F161" s="4">
        <v>88000</v>
      </c>
      <c r="G161">
        <v>1</v>
      </c>
      <c r="H161" s="4">
        <v>88000</v>
      </c>
      <c r="I161" s="4">
        <v>-100</v>
      </c>
      <c r="J161" s="5">
        <f t="shared" si="2"/>
        <v>87900</v>
      </c>
    </row>
    <row r="162" spans="1:10" x14ac:dyDescent="0.25">
      <c r="A162" s="6">
        <v>161</v>
      </c>
      <c r="B162" t="s">
        <v>1599</v>
      </c>
      <c r="C162" t="s">
        <v>320</v>
      </c>
      <c r="D162" t="s">
        <v>23</v>
      </c>
      <c r="E162" t="str">
        <f>VLOOKUP(D162,'Tên SP'!B$2:C$1070,2,0)</f>
        <v>NƯỚC XẢ VẢI LIXSOFT 3,6L/C04</v>
      </c>
      <c r="F162" s="4">
        <v>92000</v>
      </c>
      <c r="G162">
        <v>1</v>
      </c>
      <c r="H162" s="4">
        <v>92000</v>
      </c>
      <c r="I162" s="4">
        <v>-200</v>
      </c>
      <c r="J162" s="5">
        <f t="shared" si="2"/>
        <v>91800</v>
      </c>
    </row>
    <row r="163" spans="1:10" x14ac:dyDescent="0.25">
      <c r="A163" s="6">
        <v>162</v>
      </c>
      <c r="B163" t="s">
        <v>1600</v>
      </c>
      <c r="C163" t="s">
        <v>321</v>
      </c>
      <c r="D163" t="s">
        <v>9</v>
      </c>
      <c r="E163" t="str">
        <f>VLOOKUP(D163,'Tên SP'!B$2:C$1070,2,0)</f>
        <v>NƯỚC GIẶT LIX ĐẬM ĐẶC 3,5KG/T04 TÚI</v>
      </c>
      <c r="F163" s="4">
        <v>88000</v>
      </c>
      <c r="G163">
        <v>1</v>
      </c>
      <c r="H163" s="4">
        <v>88000</v>
      </c>
      <c r="I163" s="4">
        <v>-50</v>
      </c>
      <c r="J163" s="5">
        <f t="shared" si="2"/>
        <v>87950</v>
      </c>
    </row>
    <row r="164" spans="1:10" x14ac:dyDescent="0.25">
      <c r="A164" s="6">
        <v>163</v>
      </c>
      <c r="B164" t="s">
        <v>1600</v>
      </c>
      <c r="C164" t="s">
        <v>321</v>
      </c>
      <c r="D164" t="s">
        <v>9</v>
      </c>
      <c r="E164" t="str">
        <f>VLOOKUP(D164,'Tên SP'!B$2:C$1070,2,0)</f>
        <v>NƯỚC GIẶT LIX ĐẬM ĐẶC 3,5KG/T04 TÚI</v>
      </c>
      <c r="F164" s="4">
        <v>88000</v>
      </c>
      <c r="G164">
        <v>1</v>
      </c>
      <c r="H164" s="4">
        <v>88000</v>
      </c>
      <c r="I164" s="4">
        <v>-50</v>
      </c>
      <c r="J164" s="5">
        <f t="shared" si="2"/>
        <v>87950</v>
      </c>
    </row>
    <row r="165" spans="1:10" x14ac:dyDescent="0.25">
      <c r="A165" s="6">
        <v>164</v>
      </c>
      <c r="B165" t="s">
        <v>1601</v>
      </c>
      <c r="C165" t="s">
        <v>322</v>
      </c>
      <c r="D165" t="s">
        <v>9</v>
      </c>
      <c r="E165" t="str">
        <f>VLOOKUP(D165,'Tên SP'!B$2:C$1070,2,0)</f>
        <v>NƯỚC GIẶT LIX ĐẬM ĐẶC 3,5KG/T04 TÚI</v>
      </c>
      <c r="F165" s="4">
        <v>88000</v>
      </c>
      <c r="G165">
        <v>1</v>
      </c>
      <c r="H165" s="4">
        <v>88000</v>
      </c>
      <c r="I165" s="4">
        <v>0</v>
      </c>
      <c r="J165" s="5">
        <f t="shared" si="2"/>
        <v>88000</v>
      </c>
    </row>
    <row r="166" spans="1:10" x14ac:dyDescent="0.25">
      <c r="A166" s="6">
        <v>165</v>
      </c>
      <c r="B166" t="s">
        <v>1602</v>
      </c>
      <c r="C166" t="s">
        <v>323</v>
      </c>
      <c r="D166" t="s">
        <v>9</v>
      </c>
      <c r="E166" t="str">
        <f>VLOOKUP(D166,'Tên SP'!B$2:C$1070,2,0)</f>
        <v>NƯỚC GIẶT LIX ĐẬM ĐẶC 3,5KG/T04 TÚI</v>
      </c>
      <c r="F166" s="4">
        <v>88000</v>
      </c>
      <c r="G166">
        <v>1</v>
      </c>
      <c r="H166" s="4">
        <v>88000</v>
      </c>
      <c r="I166" s="4">
        <v>-150</v>
      </c>
      <c r="J166" s="5">
        <f t="shared" si="2"/>
        <v>87850</v>
      </c>
    </row>
    <row r="167" spans="1:10" x14ac:dyDescent="0.25">
      <c r="A167" s="6">
        <v>166</v>
      </c>
      <c r="B167" t="s">
        <v>1603</v>
      </c>
      <c r="C167" t="s">
        <v>324</v>
      </c>
      <c r="D167" t="s">
        <v>9</v>
      </c>
      <c r="E167" t="str">
        <f>VLOOKUP(D167,'Tên SP'!B$2:C$1070,2,0)</f>
        <v>NƯỚC GIẶT LIX ĐẬM ĐẶC 3,5KG/T04 TÚI</v>
      </c>
      <c r="F167" s="4">
        <v>88000</v>
      </c>
      <c r="G167">
        <v>1</v>
      </c>
      <c r="H167" s="4">
        <v>88000</v>
      </c>
      <c r="I167" s="4">
        <v>-50</v>
      </c>
      <c r="J167" s="5">
        <f t="shared" si="2"/>
        <v>87950</v>
      </c>
    </row>
    <row r="168" spans="1:10" x14ac:dyDescent="0.25">
      <c r="A168" s="6">
        <v>167</v>
      </c>
      <c r="B168" t="s">
        <v>1604</v>
      </c>
      <c r="C168" t="s">
        <v>325</v>
      </c>
      <c r="D168" t="s">
        <v>9</v>
      </c>
      <c r="E168" t="str">
        <f>VLOOKUP(D168,'Tên SP'!B$2:C$1070,2,0)</f>
        <v>NƯỚC GIẶT LIX ĐẬM ĐẶC 3,5KG/T04 TÚI</v>
      </c>
      <c r="F168" s="4">
        <v>88000</v>
      </c>
      <c r="G168">
        <v>1</v>
      </c>
      <c r="H168" s="4">
        <v>88000</v>
      </c>
      <c r="I168" s="4">
        <v>-1760</v>
      </c>
      <c r="J168" s="5">
        <f t="shared" si="2"/>
        <v>86240</v>
      </c>
    </row>
    <row r="169" spans="1:10" x14ac:dyDescent="0.25">
      <c r="A169" s="6">
        <v>168</v>
      </c>
      <c r="B169" t="s">
        <v>1605</v>
      </c>
      <c r="C169" t="s">
        <v>326</v>
      </c>
      <c r="D169" t="s">
        <v>208</v>
      </c>
      <c r="E169" t="str">
        <f>VLOOKUP(D169,'Tên SP'!B$2:C$1070,2,0)</f>
        <v>NƯỚC GIẶT LIX MATIC HƯƠNG BAMBOO 3,6KG/C04</v>
      </c>
      <c r="F169" s="4">
        <v>140000</v>
      </c>
      <c r="G169">
        <v>1</v>
      </c>
      <c r="H169" s="4">
        <v>140000</v>
      </c>
      <c r="I169" s="4">
        <v>-1057</v>
      </c>
      <c r="J169" s="5">
        <f t="shared" si="2"/>
        <v>138943</v>
      </c>
    </row>
    <row r="170" spans="1:10" x14ac:dyDescent="0.25">
      <c r="A170" s="6">
        <v>169</v>
      </c>
      <c r="B170" t="s">
        <v>1606</v>
      </c>
      <c r="C170" t="s">
        <v>327</v>
      </c>
      <c r="D170" t="s">
        <v>9</v>
      </c>
      <c r="E170" t="str">
        <f>VLOOKUP(D170,'Tên SP'!B$2:C$1070,2,0)</f>
        <v>NƯỚC GIẶT LIX ĐẬM ĐẶC 3,5KG/T04 TÚI</v>
      </c>
      <c r="F170" s="4">
        <v>88000</v>
      </c>
      <c r="G170">
        <v>1</v>
      </c>
      <c r="H170" s="4">
        <v>88000</v>
      </c>
      <c r="I170" s="4">
        <v>-1760</v>
      </c>
      <c r="J170" s="5">
        <f t="shared" si="2"/>
        <v>86240</v>
      </c>
    </row>
    <row r="171" spans="1:10" x14ac:dyDescent="0.25">
      <c r="A171" s="6">
        <v>170</v>
      </c>
      <c r="B171" t="s">
        <v>1607</v>
      </c>
      <c r="C171" t="s">
        <v>328</v>
      </c>
      <c r="D171" t="s">
        <v>166</v>
      </c>
      <c r="E171" t="str">
        <f>VLOOKUP(D171,'Tên SP'!B$2:C$1070,2,0)</f>
        <v xml:space="preserve">NƯỚC TẨY QUẦN ÁO MÀU ON1 PURPLE FRESHNES 800G/CH12 </v>
      </c>
      <c r="F171" s="4">
        <v>45000</v>
      </c>
      <c r="G171">
        <v>1</v>
      </c>
      <c r="H171" s="4">
        <v>45000</v>
      </c>
      <c r="I171" s="4">
        <v>0</v>
      </c>
      <c r="J171" s="5">
        <f t="shared" si="2"/>
        <v>45000</v>
      </c>
    </row>
    <row r="172" spans="1:10" x14ac:dyDescent="0.25">
      <c r="A172" s="6">
        <v>171</v>
      </c>
      <c r="B172" t="s">
        <v>1608</v>
      </c>
      <c r="C172" t="s">
        <v>329</v>
      </c>
      <c r="D172" t="s">
        <v>9</v>
      </c>
      <c r="E172" t="str">
        <f>VLOOKUP(D172,'Tên SP'!B$2:C$1070,2,0)</f>
        <v>NƯỚC GIẶT LIX ĐẬM ĐẶC 3,5KG/T04 TÚI</v>
      </c>
      <c r="F172" s="4">
        <v>88000</v>
      </c>
      <c r="G172">
        <v>1</v>
      </c>
      <c r="H172" s="4">
        <v>88000</v>
      </c>
      <c r="I172" s="4">
        <v>-100</v>
      </c>
      <c r="J172" s="5">
        <f t="shared" si="2"/>
        <v>87900</v>
      </c>
    </row>
    <row r="173" spans="1:10" x14ac:dyDescent="0.25">
      <c r="A173" s="6">
        <v>172</v>
      </c>
      <c r="B173" t="s">
        <v>1609</v>
      </c>
      <c r="C173" t="s">
        <v>330</v>
      </c>
      <c r="D173" t="s">
        <v>9</v>
      </c>
      <c r="E173" t="str">
        <f>VLOOKUP(D173,'Tên SP'!B$2:C$1070,2,0)</f>
        <v>NƯỚC GIẶT LIX ĐẬM ĐẶC 3,5KG/T04 TÚI</v>
      </c>
      <c r="F173" s="4">
        <v>88000</v>
      </c>
      <c r="G173">
        <v>1</v>
      </c>
      <c r="H173" s="4">
        <v>88000</v>
      </c>
      <c r="I173" s="4">
        <v>0</v>
      </c>
      <c r="J173" s="5">
        <f t="shared" si="2"/>
        <v>88000</v>
      </c>
    </row>
    <row r="174" spans="1:10" x14ac:dyDescent="0.25">
      <c r="A174" s="6">
        <v>173</v>
      </c>
      <c r="B174" t="s">
        <v>1610</v>
      </c>
      <c r="C174" t="s">
        <v>331</v>
      </c>
      <c r="D174" t="s">
        <v>9</v>
      </c>
      <c r="E174" t="str">
        <f>VLOOKUP(D174,'Tên SP'!B$2:C$1070,2,0)</f>
        <v>NƯỚC GIẶT LIX ĐẬM ĐẶC 3,5KG/T04 TÚI</v>
      </c>
      <c r="F174" s="4">
        <v>88000</v>
      </c>
      <c r="G174">
        <v>1</v>
      </c>
      <c r="H174" s="4">
        <v>88000</v>
      </c>
      <c r="I174" s="4">
        <v>-10800</v>
      </c>
      <c r="J174" s="5">
        <f t="shared" si="2"/>
        <v>77200</v>
      </c>
    </row>
    <row r="175" spans="1:10" x14ac:dyDescent="0.25">
      <c r="A175" s="6">
        <v>174</v>
      </c>
      <c r="B175" t="s">
        <v>1611</v>
      </c>
      <c r="C175" t="s">
        <v>332</v>
      </c>
      <c r="D175" t="s">
        <v>9</v>
      </c>
      <c r="E175" t="str">
        <f>VLOOKUP(D175,'Tên SP'!B$2:C$1070,2,0)</f>
        <v>NƯỚC GIẶT LIX ĐẬM ĐẶC 3,5KG/T04 TÚI</v>
      </c>
      <c r="F175" s="4">
        <v>88000</v>
      </c>
      <c r="G175">
        <v>1</v>
      </c>
      <c r="H175" s="4">
        <v>88000</v>
      </c>
      <c r="I175" s="4">
        <v>-10400</v>
      </c>
      <c r="J175" s="5">
        <f t="shared" si="2"/>
        <v>77600</v>
      </c>
    </row>
    <row r="176" spans="1:10" x14ac:dyDescent="0.25">
      <c r="A176" s="6">
        <v>175</v>
      </c>
      <c r="B176" t="s">
        <v>1612</v>
      </c>
      <c r="C176" t="s">
        <v>333</v>
      </c>
      <c r="D176" t="s">
        <v>9</v>
      </c>
      <c r="E176" t="str">
        <f>VLOOKUP(D176,'Tên SP'!B$2:C$1070,2,0)</f>
        <v>NƯỚC GIẶT LIX ĐẬM ĐẶC 3,5KG/T04 TÚI</v>
      </c>
      <c r="F176" s="4">
        <v>88000</v>
      </c>
      <c r="G176">
        <v>1</v>
      </c>
      <c r="H176" s="4">
        <v>88000</v>
      </c>
      <c r="I176" s="4">
        <v>-1760</v>
      </c>
      <c r="J176" s="5">
        <f t="shared" si="2"/>
        <v>86240</v>
      </c>
    </row>
    <row r="177" spans="1:10" x14ac:dyDescent="0.25">
      <c r="A177" s="6">
        <v>176</v>
      </c>
      <c r="B177" t="s">
        <v>1613</v>
      </c>
      <c r="C177" t="s">
        <v>334</v>
      </c>
      <c r="D177" t="s">
        <v>9</v>
      </c>
      <c r="E177" t="str">
        <f>VLOOKUP(D177,'Tên SP'!B$2:C$1070,2,0)</f>
        <v>NƯỚC GIẶT LIX ĐẬM ĐẶC 3,5KG/T04 TÚI</v>
      </c>
      <c r="F177" s="4">
        <v>88000</v>
      </c>
      <c r="G177">
        <v>1</v>
      </c>
      <c r="H177" s="4">
        <v>88000</v>
      </c>
      <c r="I177" s="4">
        <v>-775</v>
      </c>
      <c r="J177" s="5">
        <f t="shared" si="2"/>
        <v>87225</v>
      </c>
    </row>
    <row r="178" spans="1:10" x14ac:dyDescent="0.25">
      <c r="A178" s="6">
        <v>177</v>
      </c>
      <c r="B178" t="s">
        <v>1614</v>
      </c>
      <c r="C178" t="s">
        <v>335</v>
      </c>
      <c r="D178" t="s">
        <v>9</v>
      </c>
      <c r="E178" t="str">
        <f>VLOOKUP(D178,'Tên SP'!B$2:C$1070,2,0)</f>
        <v>NƯỚC GIẶT LIX ĐẬM ĐẶC 3,5KG/T04 TÚI</v>
      </c>
      <c r="F178" s="4">
        <v>88000</v>
      </c>
      <c r="G178">
        <v>1</v>
      </c>
      <c r="H178" s="4">
        <v>88000</v>
      </c>
      <c r="I178" s="4">
        <v>-3775</v>
      </c>
      <c r="J178" s="5">
        <f t="shared" si="2"/>
        <v>84225</v>
      </c>
    </row>
    <row r="179" spans="1:10" x14ac:dyDescent="0.25">
      <c r="A179" s="6">
        <v>178</v>
      </c>
      <c r="B179" t="s">
        <v>1614</v>
      </c>
      <c r="C179" t="s">
        <v>335</v>
      </c>
      <c r="D179" t="s">
        <v>9</v>
      </c>
      <c r="E179" t="str">
        <f>VLOOKUP(D179,'Tên SP'!B$2:C$1070,2,0)</f>
        <v>NƯỚC GIẶT LIX ĐẬM ĐẶC 3,5KG/T04 TÚI</v>
      </c>
      <c r="F179" s="4">
        <v>88000</v>
      </c>
      <c r="G179">
        <v>1</v>
      </c>
      <c r="H179" s="4">
        <v>88000</v>
      </c>
      <c r="I179" s="4">
        <v>-3775</v>
      </c>
      <c r="J179" s="5">
        <f t="shared" si="2"/>
        <v>84225</v>
      </c>
    </row>
    <row r="180" spans="1:10" x14ac:dyDescent="0.25">
      <c r="A180" s="6">
        <v>179</v>
      </c>
      <c r="B180" t="s">
        <v>1614</v>
      </c>
      <c r="C180" t="s">
        <v>335</v>
      </c>
      <c r="D180" t="s">
        <v>9</v>
      </c>
      <c r="E180" t="str">
        <f>VLOOKUP(D180,'Tên SP'!B$2:C$1070,2,0)</f>
        <v>NƯỚC GIẶT LIX ĐẬM ĐẶC 3,5KG/T04 TÚI</v>
      </c>
      <c r="F180" s="4">
        <v>88000</v>
      </c>
      <c r="G180">
        <v>1</v>
      </c>
      <c r="H180" s="4">
        <v>88000</v>
      </c>
      <c r="I180" s="4">
        <v>-3775</v>
      </c>
      <c r="J180" s="5">
        <f t="shared" si="2"/>
        <v>84225</v>
      </c>
    </row>
    <row r="181" spans="1:10" x14ac:dyDescent="0.25">
      <c r="A181" s="6">
        <v>180</v>
      </c>
      <c r="B181" t="s">
        <v>1614</v>
      </c>
      <c r="C181" t="s">
        <v>335</v>
      </c>
      <c r="D181" t="s">
        <v>9</v>
      </c>
      <c r="E181" t="str">
        <f>VLOOKUP(D181,'Tên SP'!B$2:C$1070,2,0)</f>
        <v>NƯỚC GIẶT LIX ĐẬM ĐẶC 3,5KG/T04 TÚI</v>
      </c>
      <c r="F181" s="4">
        <v>88000</v>
      </c>
      <c r="G181">
        <v>1</v>
      </c>
      <c r="H181" s="4">
        <v>88000</v>
      </c>
      <c r="I181" s="4">
        <v>-3775</v>
      </c>
      <c r="J181" s="5">
        <f t="shared" si="2"/>
        <v>84225</v>
      </c>
    </row>
    <row r="182" spans="1:10" x14ac:dyDescent="0.25">
      <c r="A182" s="6">
        <v>181</v>
      </c>
      <c r="B182" t="s">
        <v>1615</v>
      </c>
      <c r="C182" t="s">
        <v>336</v>
      </c>
      <c r="D182" t="s">
        <v>23</v>
      </c>
      <c r="E182" t="str">
        <f>VLOOKUP(D182,'Tên SP'!B$2:C$1070,2,0)</f>
        <v>NƯỚC XẢ VẢI LIXSOFT 3,6L/C04</v>
      </c>
      <c r="F182" s="4">
        <v>92000</v>
      </c>
      <c r="G182">
        <v>1</v>
      </c>
      <c r="H182" s="4">
        <v>92000</v>
      </c>
      <c r="I182" s="4">
        <v>-4340</v>
      </c>
      <c r="J182" s="5">
        <f t="shared" si="2"/>
        <v>87660</v>
      </c>
    </row>
    <row r="183" spans="1:10" x14ac:dyDescent="0.25">
      <c r="A183" s="6">
        <v>182</v>
      </c>
      <c r="B183" t="s">
        <v>1615</v>
      </c>
      <c r="C183" t="s">
        <v>336</v>
      </c>
      <c r="D183" t="s">
        <v>9</v>
      </c>
      <c r="E183" t="str">
        <f>VLOOKUP(D183,'Tên SP'!B$2:C$1070,2,0)</f>
        <v>NƯỚC GIẶT LIX ĐẬM ĐẶC 3,5KG/T04 TÚI</v>
      </c>
      <c r="F183" s="4">
        <v>88000</v>
      </c>
      <c r="G183">
        <v>1</v>
      </c>
      <c r="H183" s="4">
        <v>88000</v>
      </c>
      <c r="I183" s="4">
        <v>-4301</v>
      </c>
      <c r="J183" s="5">
        <f t="shared" si="2"/>
        <v>83699</v>
      </c>
    </row>
    <row r="184" spans="1:10" x14ac:dyDescent="0.25">
      <c r="A184" s="6">
        <v>183</v>
      </c>
      <c r="B184" t="s">
        <v>1615</v>
      </c>
      <c r="C184" t="s">
        <v>336</v>
      </c>
      <c r="D184" t="s">
        <v>106</v>
      </c>
      <c r="E184" t="str">
        <f>VLOOKUP(D184,'Tên SP'!B$2:C$1070,2,0)</f>
        <v>NƯỚC GIẶT LIX SIÊU SẠCH HOA ANH ĐÀO 2.4KG/T06</v>
      </c>
      <c r="F184" s="4">
        <v>69000</v>
      </c>
      <c r="G184">
        <v>1</v>
      </c>
      <c r="H184" s="4">
        <v>69000</v>
      </c>
      <c r="I184" s="4">
        <v>-3255</v>
      </c>
      <c r="J184" s="5">
        <f t="shared" si="2"/>
        <v>65745</v>
      </c>
    </row>
    <row r="185" spans="1:10" x14ac:dyDescent="0.25">
      <c r="A185" s="6">
        <v>184</v>
      </c>
      <c r="B185" t="s">
        <v>1615</v>
      </c>
      <c r="C185" t="s">
        <v>336</v>
      </c>
      <c r="D185" t="s">
        <v>106</v>
      </c>
      <c r="E185" t="str">
        <f>VLOOKUP(D185,'Tên SP'!B$2:C$1070,2,0)</f>
        <v>NƯỚC GIẶT LIX SIÊU SẠCH HOA ANH ĐÀO 2.4KG/T06</v>
      </c>
      <c r="F185" s="4">
        <v>69000</v>
      </c>
      <c r="G185">
        <v>1</v>
      </c>
      <c r="H185" s="4">
        <v>69000</v>
      </c>
      <c r="I185" s="4">
        <v>-3254</v>
      </c>
      <c r="J185" s="5">
        <f t="shared" si="2"/>
        <v>65746</v>
      </c>
    </row>
    <row r="186" spans="1:10" x14ac:dyDescent="0.25">
      <c r="A186" s="6">
        <v>185</v>
      </c>
      <c r="B186" t="s">
        <v>1616</v>
      </c>
      <c r="C186" t="s">
        <v>337</v>
      </c>
      <c r="D186" t="s">
        <v>9</v>
      </c>
      <c r="E186" t="str">
        <f>VLOOKUP(D186,'Tên SP'!B$2:C$1070,2,0)</f>
        <v>NƯỚC GIẶT LIX ĐẬM ĐẶC 3,5KG/T04 TÚI</v>
      </c>
      <c r="F186" s="4">
        <v>88000</v>
      </c>
      <c r="G186">
        <v>1</v>
      </c>
      <c r="H186" s="4">
        <v>88000</v>
      </c>
      <c r="I186" s="4">
        <v>-1760</v>
      </c>
      <c r="J186" s="5">
        <f t="shared" si="2"/>
        <v>86240</v>
      </c>
    </row>
    <row r="187" spans="1:10" x14ac:dyDescent="0.25">
      <c r="A187" s="6">
        <v>186</v>
      </c>
      <c r="B187" t="s">
        <v>1617</v>
      </c>
      <c r="C187" t="s">
        <v>338</v>
      </c>
      <c r="D187" t="s">
        <v>9</v>
      </c>
      <c r="E187" t="str">
        <f>VLOOKUP(D187,'Tên SP'!B$2:C$1070,2,0)</f>
        <v>NƯỚC GIẶT LIX ĐẬM ĐẶC 3,5KG/T04 TÚI</v>
      </c>
      <c r="F187" s="4">
        <v>88000</v>
      </c>
      <c r="G187">
        <v>1</v>
      </c>
      <c r="H187" s="4">
        <v>88000</v>
      </c>
      <c r="I187" s="4">
        <v>0</v>
      </c>
      <c r="J187" s="5">
        <f t="shared" si="2"/>
        <v>88000</v>
      </c>
    </row>
    <row r="188" spans="1:10" x14ac:dyDescent="0.25">
      <c r="A188" s="6">
        <v>187</v>
      </c>
      <c r="B188" t="s">
        <v>1618</v>
      </c>
      <c r="C188" t="s">
        <v>339</v>
      </c>
      <c r="D188" t="s">
        <v>9</v>
      </c>
      <c r="E188" t="str">
        <f>VLOOKUP(D188,'Tên SP'!B$2:C$1070,2,0)</f>
        <v>NƯỚC GIẶT LIX ĐẬM ĐẶC 3,5KG/T04 TÚI</v>
      </c>
      <c r="F188" s="4">
        <v>88000</v>
      </c>
      <c r="G188">
        <v>1</v>
      </c>
      <c r="H188" s="4">
        <v>88000</v>
      </c>
      <c r="I188" s="4">
        <v>-11760</v>
      </c>
      <c r="J188" s="5">
        <f t="shared" si="2"/>
        <v>76240</v>
      </c>
    </row>
    <row r="189" spans="1:10" x14ac:dyDescent="0.25">
      <c r="A189" s="6">
        <v>188</v>
      </c>
      <c r="B189" t="s">
        <v>1619</v>
      </c>
      <c r="C189" t="s">
        <v>340</v>
      </c>
      <c r="D189" t="s">
        <v>23</v>
      </c>
      <c r="E189" t="str">
        <f>VLOOKUP(D189,'Tên SP'!B$2:C$1070,2,0)</f>
        <v>NƯỚC XẢ VẢI LIXSOFT 3,6L/C04</v>
      </c>
      <c r="F189" s="4">
        <v>92000</v>
      </c>
      <c r="G189">
        <v>1</v>
      </c>
      <c r="H189" s="4">
        <v>92000</v>
      </c>
      <c r="I189" s="4">
        <v>-100</v>
      </c>
      <c r="J189" s="5">
        <f t="shared" si="2"/>
        <v>91900</v>
      </c>
    </row>
    <row r="190" spans="1:10" x14ac:dyDescent="0.25">
      <c r="A190" s="6">
        <v>189</v>
      </c>
      <c r="B190" t="s">
        <v>1620</v>
      </c>
      <c r="C190" t="s">
        <v>341</v>
      </c>
      <c r="D190" t="s">
        <v>102</v>
      </c>
      <c r="E190" t="str">
        <f>VLOOKUP(D190,'Tên SP'!B$2:C$1070,2,0)</f>
        <v>NƯỚC GIẶT LIX HƯƠNG NƯỚC HOA 3,5KG/T04 TÚI</v>
      </c>
      <c r="F190" s="4">
        <v>102900</v>
      </c>
      <c r="G190">
        <v>1</v>
      </c>
      <c r="H190" s="4">
        <v>102900</v>
      </c>
      <c r="I190" s="4">
        <v>-2058</v>
      </c>
      <c r="J190" s="5">
        <f t="shared" si="2"/>
        <v>100842</v>
      </c>
    </row>
    <row r="191" spans="1:10" x14ac:dyDescent="0.25">
      <c r="A191" s="6">
        <v>190</v>
      </c>
      <c r="B191" t="s">
        <v>1621</v>
      </c>
      <c r="C191" t="s">
        <v>342</v>
      </c>
      <c r="D191" t="s">
        <v>135</v>
      </c>
      <c r="E191" t="str">
        <f>VLOOKUP(D191,'Tên SP'!B$2:C$1070,2,0)</f>
        <v>NƯỚC RỬA CHÉN ON1 TRÀ XANH MUỐI HỒNG 1,5KG/C08</v>
      </c>
      <c r="F191" s="4">
        <v>45000</v>
      </c>
      <c r="G191">
        <v>1</v>
      </c>
      <c r="H191" s="4">
        <v>45000</v>
      </c>
      <c r="I191" s="4">
        <v>0</v>
      </c>
      <c r="J191" s="5">
        <f t="shared" si="2"/>
        <v>45000</v>
      </c>
    </row>
    <row r="192" spans="1:10" x14ac:dyDescent="0.25">
      <c r="A192" s="6">
        <v>191</v>
      </c>
      <c r="B192" t="s">
        <v>1622</v>
      </c>
      <c r="C192" t="s">
        <v>343</v>
      </c>
      <c r="D192" t="s">
        <v>140</v>
      </c>
      <c r="E192" t="str">
        <f>VLOOKUP(D192,'Tên SP'!B$2:C$1070,2,0)</f>
        <v>NƯỚC RỬA CHÉN ON1 TINH DẦU GỪNG CAM 1KG/CH12</v>
      </c>
      <c r="F192" s="4">
        <v>59000</v>
      </c>
      <c r="G192">
        <v>1</v>
      </c>
      <c r="H192" s="4">
        <v>59000</v>
      </c>
      <c r="I192" s="4">
        <v>-7360</v>
      </c>
      <c r="J192" s="5">
        <f t="shared" si="2"/>
        <v>51640</v>
      </c>
    </row>
    <row r="193" spans="1:10" x14ac:dyDescent="0.25">
      <c r="A193" s="6">
        <v>192</v>
      </c>
      <c r="B193" t="s">
        <v>1622</v>
      </c>
      <c r="C193" t="s">
        <v>343</v>
      </c>
      <c r="D193" t="s">
        <v>117</v>
      </c>
      <c r="E193" t="str">
        <f>VLOOKUP(D193,'Tên SP'!B$2:C$1070,2,0)</f>
        <v>NƯỚC RỬA CHÉN ON1 KIWI-ALOEVERA 1,5KG/C08</v>
      </c>
      <c r="F193" s="4">
        <v>59000</v>
      </c>
      <c r="G193">
        <v>1</v>
      </c>
      <c r="H193" s="4">
        <v>59000</v>
      </c>
      <c r="I193" s="4">
        <v>-8360</v>
      </c>
      <c r="J193" s="5">
        <f t="shared" si="2"/>
        <v>50640</v>
      </c>
    </row>
    <row r="194" spans="1:10" x14ac:dyDescent="0.25">
      <c r="A194" s="6">
        <v>193</v>
      </c>
      <c r="B194" t="s">
        <v>1623</v>
      </c>
      <c r="C194" t="s">
        <v>344</v>
      </c>
      <c r="D194" t="s">
        <v>28</v>
      </c>
      <c r="E194" t="str">
        <f>VLOOKUP(D194,'Tên SP'!B$2:C$1070,2,0)</f>
        <v>NƯỚC XẢ VẢI LIXSOFT HƯƠNG HOA HỒNG 3,6L/C04</v>
      </c>
      <c r="F194" s="4">
        <v>92000</v>
      </c>
      <c r="G194">
        <v>1</v>
      </c>
      <c r="H194" s="4">
        <v>92000</v>
      </c>
      <c r="I194" s="4">
        <v>-11840</v>
      </c>
      <c r="J194" s="5">
        <f t="shared" si="2"/>
        <v>80160</v>
      </c>
    </row>
    <row r="195" spans="1:10" x14ac:dyDescent="0.25">
      <c r="A195" s="6">
        <v>194</v>
      </c>
      <c r="B195" t="s">
        <v>1624</v>
      </c>
      <c r="C195" t="s">
        <v>345</v>
      </c>
      <c r="D195" t="s">
        <v>104</v>
      </c>
      <c r="E195" t="str">
        <f>VLOOKUP(D195,'Tên SP'!B$2:C$1070,2,0)</f>
        <v>NƯỚC GIẶT LIX ĐẬM ĐẶC 2KG/C06</v>
      </c>
      <c r="F195" s="4">
        <v>69000</v>
      </c>
      <c r="G195">
        <v>1</v>
      </c>
      <c r="H195" s="4">
        <v>69000</v>
      </c>
      <c r="I195" s="4">
        <v>-1380</v>
      </c>
      <c r="J195" s="5">
        <f t="shared" ref="J195:J258" si="3">H195+I195</f>
        <v>67620</v>
      </c>
    </row>
    <row r="196" spans="1:10" x14ac:dyDescent="0.25">
      <c r="A196" s="6">
        <v>195</v>
      </c>
      <c r="B196" t="s">
        <v>1625</v>
      </c>
      <c r="C196" t="s">
        <v>346</v>
      </c>
      <c r="D196" t="s">
        <v>9</v>
      </c>
      <c r="E196" t="str">
        <f>VLOOKUP(D196,'Tên SP'!B$2:C$1070,2,0)</f>
        <v>NƯỚC GIẶT LIX ĐẬM ĐẶC 3,5KG/T04 TÚI</v>
      </c>
      <c r="F196" s="4">
        <v>102900</v>
      </c>
      <c r="G196">
        <v>1</v>
      </c>
      <c r="H196" s="4">
        <v>102900</v>
      </c>
      <c r="I196" s="4">
        <v>-2058</v>
      </c>
      <c r="J196" s="5">
        <f t="shared" si="3"/>
        <v>100842</v>
      </c>
    </row>
    <row r="197" spans="1:10" x14ac:dyDescent="0.25">
      <c r="A197" s="6">
        <v>196</v>
      </c>
      <c r="B197" t="s">
        <v>1626</v>
      </c>
      <c r="C197" t="s">
        <v>347</v>
      </c>
      <c r="D197" t="s">
        <v>152</v>
      </c>
      <c r="E197" t="str">
        <f>VLOOKUP(D197,'Tên SP'!B$2:C$1070,2,0)</f>
        <v>NƯỚC GIẶT ON1 CHỐNG LEM MÀU FRESH SAKURA 3,5KG/T04 (TÚI)</v>
      </c>
      <c r="F197" s="4">
        <v>0</v>
      </c>
      <c r="G197">
        <v>1</v>
      </c>
      <c r="H197" s="4">
        <v>0</v>
      </c>
      <c r="I197" s="4">
        <v>0</v>
      </c>
      <c r="J197" s="5">
        <f t="shared" si="3"/>
        <v>0</v>
      </c>
    </row>
    <row r="198" spans="1:10" x14ac:dyDescent="0.25">
      <c r="A198" s="6">
        <v>197</v>
      </c>
      <c r="B198" t="s">
        <v>1627</v>
      </c>
      <c r="C198" t="s">
        <v>348</v>
      </c>
      <c r="D198" t="s">
        <v>28</v>
      </c>
      <c r="E198" t="str">
        <f>VLOOKUP(D198,'Tên SP'!B$2:C$1070,2,0)</f>
        <v>NƯỚC XẢ VẢI LIXSOFT HƯƠNG HOA HỒNG 3,6L/C04</v>
      </c>
      <c r="F198" s="4">
        <v>79000</v>
      </c>
      <c r="G198">
        <v>1</v>
      </c>
      <c r="H198" s="4">
        <v>79000</v>
      </c>
      <c r="I198" s="4">
        <v>-700</v>
      </c>
      <c r="J198" s="5">
        <f t="shared" si="3"/>
        <v>78300</v>
      </c>
    </row>
    <row r="199" spans="1:10" x14ac:dyDescent="0.25">
      <c r="A199" s="6">
        <v>198</v>
      </c>
      <c r="B199" t="s">
        <v>1628</v>
      </c>
      <c r="C199" t="s">
        <v>349</v>
      </c>
      <c r="D199" t="s">
        <v>28</v>
      </c>
      <c r="E199" t="str">
        <f>VLOOKUP(D199,'Tên SP'!B$2:C$1070,2,0)</f>
        <v>NƯỚC XẢ VẢI LIXSOFT HƯƠNG HOA HỒNG 3,6L/C04</v>
      </c>
      <c r="F199" s="4">
        <v>79000</v>
      </c>
      <c r="G199">
        <v>1</v>
      </c>
      <c r="H199" s="4">
        <v>79000</v>
      </c>
      <c r="I199" s="4">
        <v>0</v>
      </c>
      <c r="J199" s="5">
        <f t="shared" si="3"/>
        <v>79000</v>
      </c>
    </row>
    <row r="200" spans="1:10" x14ac:dyDescent="0.25">
      <c r="A200" s="6">
        <v>199</v>
      </c>
      <c r="B200" t="s">
        <v>1629</v>
      </c>
      <c r="C200" t="s">
        <v>350</v>
      </c>
      <c r="D200" t="s">
        <v>28</v>
      </c>
      <c r="E200" t="str">
        <f>VLOOKUP(D200,'Tên SP'!B$2:C$1070,2,0)</f>
        <v>NƯỚC XẢ VẢI LIXSOFT HƯƠNG HOA HỒNG 3,6L/C04</v>
      </c>
      <c r="F200" s="4">
        <v>79000</v>
      </c>
      <c r="G200">
        <v>1</v>
      </c>
      <c r="H200" s="4">
        <v>79000</v>
      </c>
      <c r="I200" s="4">
        <v>0</v>
      </c>
      <c r="J200" s="5">
        <f t="shared" si="3"/>
        <v>79000</v>
      </c>
    </row>
    <row r="201" spans="1:10" x14ac:dyDescent="0.25">
      <c r="A201" s="6">
        <v>200</v>
      </c>
      <c r="B201" t="s">
        <v>1630</v>
      </c>
      <c r="C201" t="s">
        <v>351</v>
      </c>
      <c r="D201" t="s">
        <v>152</v>
      </c>
      <c r="E201" t="str">
        <f>VLOOKUP(D201,'Tên SP'!B$2:C$1070,2,0)</f>
        <v>NƯỚC GIẶT ON1 CHỐNG LEM MÀU FRESH SAKURA 3,5KG/T04 (TÚI)</v>
      </c>
      <c r="F201" s="4">
        <v>0</v>
      </c>
      <c r="G201">
        <v>1</v>
      </c>
      <c r="H201" s="4">
        <v>0</v>
      </c>
      <c r="I201" s="4">
        <v>0</v>
      </c>
      <c r="J201" s="5">
        <f t="shared" si="3"/>
        <v>0</v>
      </c>
    </row>
    <row r="202" spans="1:10" x14ac:dyDescent="0.25">
      <c r="A202" s="6">
        <v>201</v>
      </c>
      <c r="B202" t="s">
        <v>1631</v>
      </c>
      <c r="C202" t="s">
        <v>352</v>
      </c>
      <c r="D202" t="s">
        <v>89</v>
      </c>
      <c r="E202" t="str">
        <f>VLOOKUP(D202,'Tên SP'!B$2:C$1070,2,0)</f>
        <v>NƯỚC RỬA CHÉN SIÊU SẠCH TRÀ 750G/CH12</v>
      </c>
      <c r="F202" s="4">
        <v>19000</v>
      </c>
      <c r="G202">
        <v>1</v>
      </c>
      <c r="H202" s="4">
        <v>19000</v>
      </c>
      <c r="I202" s="4">
        <v>-927</v>
      </c>
      <c r="J202" s="5">
        <f t="shared" si="3"/>
        <v>18073</v>
      </c>
    </row>
    <row r="203" spans="1:10" x14ac:dyDescent="0.25">
      <c r="A203" s="6">
        <v>202</v>
      </c>
      <c r="B203" t="s">
        <v>1631</v>
      </c>
      <c r="C203" t="s">
        <v>352</v>
      </c>
      <c r="D203" t="s">
        <v>104</v>
      </c>
      <c r="E203" t="str">
        <f>VLOOKUP(D203,'Tên SP'!B$2:C$1070,2,0)</f>
        <v>NƯỚC GIẶT LIX ĐẬM ĐẶC 2KG/C06</v>
      </c>
      <c r="F203" s="4">
        <v>66000</v>
      </c>
      <c r="G203">
        <v>1</v>
      </c>
      <c r="H203" s="4">
        <v>66000</v>
      </c>
      <c r="I203" s="4">
        <v>-3219</v>
      </c>
      <c r="J203" s="5">
        <f t="shared" si="3"/>
        <v>62781</v>
      </c>
    </row>
    <row r="204" spans="1:10" x14ac:dyDescent="0.25">
      <c r="A204" s="6">
        <v>203</v>
      </c>
      <c r="B204" t="s">
        <v>1631</v>
      </c>
      <c r="C204" t="s">
        <v>352</v>
      </c>
      <c r="D204" t="s">
        <v>28</v>
      </c>
      <c r="E204" t="str">
        <f>VLOOKUP(D204,'Tên SP'!B$2:C$1070,2,0)</f>
        <v>NƯỚC XẢ VẢI LIXSOFT HƯƠNG HOA HỒNG 3,6L/C04</v>
      </c>
      <c r="F204" s="4">
        <v>79000</v>
      </c>
      <c r="G204">
        <v>1</v>
      </c>
      <c r="H204" s="4">
        <v>79000</v>
      </c>
      <c r="I204" s="4">
        <v>-3854</v>
      </c>
      <c r="J204" s="5">
        <f t="shared" si="3"/>
        <v>75146</v>
      </c>
    </row>
    <row r="205" spans="1:10" x14ac:dyDescent="0.25">
      <c r="A205" s="6">
        <v>204</v>
      </c>
      <c r="B205" t="s">
        <v>1632</v>
      </c>
      <c r="C205" t="s">
        <v>353</v>
      </c>
      <c r="D205" t="s">
        <v>106</v>
      </c>
      <c r="E205" t="str">
        <f>VLOOKUP(D205,'Tên SP'!B$2:C$1070,2,0)</f>
        <v>NƯỚC GIẶT LIX SIÊU SẠCH HOA ANH ĐÀO 2.4KG/T06</v>
      </c>
      <c r="F205" s="4">
        <v>65400</v>
      </c>
      <c r="G205">
        <v>1</v>
      </c>
      <c r="H205" s="4">
        <v>65400</v>
      </c>
      <c r="I205" s="4">
        <v>-325</v>
      </c>
      <c r="J205" s="5">
        <f t="shared" si="3"/>
        <v>65075</v>
      </c>
    </row>
    <row r="206" spans="1:10" x14ac:dyDescent="0.25">
      <c r="A206" s="6">
        <v>205</v>
      </c>
      <c r="B206" t="s">
        <v>1632</v>
      </c>
      <c r="C206" t="s">
        <v>353</v>
      </c>
      <c r="D206" t="s">
        <v>106</v>
      </c>
      <c r="E206" t="str">
        <f>VLOOKUP(D206,'Tên SP'!B$2:C$1070,2,0)</f>
        <v>NƯỚC GIẶT LIX SIÊU SẠCH HOA ANH ĐÀO 2.4KG/T06</v>
      </c>
      <c r="F206" s="4">
        <v>65400</v>
      </c>
      <c r="G206">
        <v>1</v>
      </c>
      <c r="H206" s="4">
        <v>65400</v>
      </c>
      <c r="I206" s="4">
        <v>-325</v>
      </c>
      <c r="J206" s="5">
        <f t="shared" si="3"/>
        <v>65075</v>
      </c>
    </row>
    <row r="207" spans="1:10" x14ac:dyDescent="0.25">
      <c r="A207" s="6">
        <v>206</v>
      </c>
      <c r="B207" t="s">
        <v>1633</v>
      </c>
      <c r="C207" t="s">
        <v>354</v>
      </c>
      <c r="D207" t="s">
        <v>104</v>
      </c>
      <c r="E207" t="str">
        <f>VLOOKUP(D207,'Tên SP'!B$2:C$1070,2,0)</f>
        <v>NƯỚC GIẶT LIX ĐẬM ĐẶC 2KG/C06</v>
      </c>
      <c r="F207" s="4">
        <v>66000</v>
      </c>
      <c r="G207">
        <v>1</v>
      </c>
      <c r="H207" s="4">
        <v>66000</v>
      </c>
      <c r="I207" s="4">
        <v>-1320</v>
      </c>
      <c r="J207" s="5">
        <f t="shared" si="3"/>
        <v>64680</v>
      </c>
    </row>
    <row r="208" spans="1:10" x14ac:dyDescent="0.25">
      <c r="A208" s="6">
        <v>207</v>
      </c>
      <c r="B208" t="s">
        <v>1634</v>
      </c>
      <c r="C208" t="s">
        <v>355</v>
      </c>
      <c r="D208" t="s">
        <v>31</v>
      </c>
      <c r="E208" t="str">
        <f>VLOOKUP(D208,'Tên SP'!B$2:C$1070,2,0)</f>
        <v>BỘT GIẶT LIXE 5,5KG/03</v>
      </c>
      <c r="F208" s="4">
        <v>133700</v>
      </c>
      <c r="G208">
        <v>1</v>
      </c>
      <c r="H208" s="4">
        <v>133700</v>
      </c>
      <c r="I208" s="4">
        <v>0</v>
      </c>
      <c r="J208" s="5">
        <f t="shared" si="3"/>
        <v>133700</v>
      </c>
    </row>
    <row r="209" spans="1:10" x14ac:dyDescent="0.25">
      <c r="A209" s="6">
        <v>208</v>
      </c>
      <c r="B209" t="s">
        <v>1635</v>
      </c>
      <c r="C209" t="s">
        <v>356</v>
      </c>
      <c r="D209" t="s">
        <v>106</v>
      </c>
      <c r="E209" t="str">
        <f>VLOOKUP(D209,'Tên SP'!B$2:C$1070,2,0)</f>
        <v>NƯỚC GIẶT LIX SIÊU SẠCH HOA ANH ĐÀO 2.4KG/T06</v>
      </c>
      <c r="F209" s="4">
        <v>65400</v>
      </c>
      <c r="G209">
        <v>1</v>
      </c>
      <c r="H209" s="4">
        <v>65400</v>
      </c>
      <c r="I209" s="4">
        <v>-1308</v>
      </c>
      <c r="J209" s="5">
        <f t="shared" si="3"/>
        <v>64092</v>
      </c>
    </row>
    <row r="210" spans="1:10" x14ac:dyDescent="0.25">
      <c r="A210" s="6">
        <v>209</v>
      </c>
      <c r="B210" t="s">
        <v>1636</v>
      </c>
      <c r="C210" t="s">
        <v>357</v>
      </c>
      <c r="D210" t="s">
        <v>9</v>
      </c>
      <c r="E210" t="str">
        <f>VLOOKUP(D210,'Tên SP'!B$2:C$1070,2,0)</f>
        <v>NƯỚC GIẶT LIX ĐẬM ĐẶC 3,5KG/T04 TÚI</v>
      </c>
      <c r="F210" s="4">
        <v>95100</v>
      </c>
      <c r="G210">
        <v>1</v>
      </c>
      <c r="H210" s="4">
        <v>95100</v>
      </c>
      <c r="I210" s="4">
        <v>-5125</v>
      </c>
      <c r="J210" s="5">
        <f t="shared" si="3"/>
        <v>89975</v>
      </c>
    </row>
    <row r="211" spans="1:10" x14ac:dyDescent="0.25">
      <c r="A211" s="6">
        <v>210</v>
      </c>
      <c r="B211" t="s">
        <v>1636</v>
      </c>
      <c r="C211" t="s">
        <v>357</v>
      </c>
      <c r="D211" t="s">
        <v>9</v>
      </c>
      <c r="E211" t="str">
        <f>VLOOKUP(D211,'Tên SP'!B$2:C$1070,2,0)</f>
        <v>NƯỚC GIẶT LIX ĐẬM ĐẶC 3,5KG/T04 TÚI</v>
      </c>
      <c r="F211" s="4">
        <v>95100</v>
      </c>
      <c r="G211">
        <v>1</v>
      </c>
      <c r="H211" s="4">
        <v>95100</v>
      </c>
      <c r="I211" s="4">
        <v>-5125</v>
      </c>
      <c r="J211" s="5">
        <f t="shared" si="3"/>
        <v>89975</v>
      </c>
    </row>
    <row r="212" spans="1:10" x14ac:dyDescent="0.25">
      <c r="A212" s="6">
        <v>211</v>
      </c>
      <c r="B212" t="s">
        <v>1636</v>
      </c>
      <c r="C212" t="s">
        <v>357</v>
      </c>
      <c r="D212" t="s">
        <v>9</v>
      </c>
      <c r="E212" t="str">
        <f>VLOOKUP(D212,'Tên SP'!B$2:C$1070,2,0)</f>
        <v>NƯỚC GIẶT LIX ĐẬM ĐẶC 3,5KG/T04 TÚI</v>
      </c>
      <c r="F212" s="4">
        <v>95100</v>
      </c>
      <c r="G212">
        <v>1</v>
      </c>
      <c r="H212" s="4">
        <v>95100</v>
      </c>
      <c r="I212" s="4">
        <v>-5125</v>
      </c>
      <c r="J212" s="5">
        <f t="shared" si="3"/>
        <v>89975</v>
      </c>
    </row>
    <row r="213" spans="1:10" x14ac:dyDescent="0.25">
      <c r="A213" s="6">
        <v>212</v>
      </c>
      <c r="B213" t="s">
        <v>1636</v>
      </c>
      <c r="C213" t="s">
        <v>357</v>
      </c>
      <c r="D213" t="s">
        <v>9</v>
      </c>
      <c r="E213" t="str">
        <f>VLOOKUP(D213,'Tên SP'!B$2:C$1070,2,0)</f>
        <v>NƯỚC GIẶT LIX ĐẬM ĐẶC 3,5KG/T04 TÚI</v>
      </c>
      <c r="F213" s="4">
        <v>95100</v>
      </c>
      <c r="G213">
        <v>1</v>
      </c>
      <c r="H213" s="4">
        <v>95100</v>
      </c>
      <c r="I213" s="4">
        <v>-5125</v>
      </c>
      <c r="J213" s="5">
        <f t="shared" si="3"/>
        <v>89975</v>
      </c>
    </row>
    <row r="214" spans="1:10" x14ac:dyDescent="0.25">
      <c r="A214" s="6">
        <v>213</v>
      </c>
      <c r="B214" t="s">
        <v>1637</v>
      </c>
      <c r="C214" t="s">
        <v>358</v>
      </c>
      <c r="D214" t="s">
        <v>28</v>
      </c>
      <c r="E214" t="str">
        <f>VLOOKUP(D214,'Tên SP'!B$2:C$1070,2,0)</f>
        <v>NƯỚC XẢ VẢI LIXSOFT HƯƠNG HOA HỒNG 3,6L/C04</v>
      </c>
      <c r="F214" s="4">
        <v>79000</v>
      </c>
      <c r="G214">
        <v>1</v>
      </c>
      <c r="H214" s="4">
        <v>79000</v>
      </c>
      <c r="I214" s="4">
        <v>-300</v>
      </c>
      <c r="J214" s="5">
        <f t="shared" si="3"/>
        <v>78700</v>
      </c>
    </row>
    <row r="215" spans="1:10" x14ac:dyDescent="0.25">
      <c r="A215" s="6">
        <v>214</v>
      </c>
      <c r="B215" t="s">
        <v>1638</v>
      </c>
      <c r="C215" t="s">
        <v>359</v>
      </c>
      <c r="D215" t="s">
        <v>152</v>
      </c>
      <c r="E215" t="str">
        <f>VLOOKUP(D215,'Tên SP'!B$2:C$1070,2,0)</f>
        <v>NƯỚC GIẶT ON1 CHỐNG LEM MÀU FRESH SAKURA 3,5KG/T04 (TÚI)</v>
      </c>
      <c r="F215" s="4">
        <v>0</v>
      </c>
      <c r="G215">
        <v>1</v>
      </c>
      <c r="H215" s="4">
        <v>0</v>
      </c>
      <c r="I215" s="4">
        <v>0</v>
      </c>
      <c r="J215" s="5">
        <f t="shared" si="3"/>
        <v>0</v>
      </c>
    </row>
    <row r="216" spans="1:10" x14ac:dyDescent="0.25">
      <c r="A216" s="6">
        <v>215</v>
      </c>
      <c r="B216" t="s">
        <v>1639</v>
      </c>
      <c r="C216" t="s">
        <v>360</v>
      </c>
      <c r="D216" t="s">
        <v>85</v>
      </c>
      <c r="E216" t="str">
        <f>VLOOKUP(D216,'Tên SP'!B$2:C$1070,2,0)</f>
        <v>NƯỚC RỬA CHÉN SIÊU SẠCH TRÀ 3,6KG/C04</v>
      </c>
      <c r="F216" s="4">
        <v>69520</v>
      </c>
      <c r="G216">
        <v>1</v>
      </c>
      <c r="H216" s="4">
        <v>69520</v>
      </c>
      <c r="I216" s="4">
        <v>-11390</v>
      </c>
      <c r="J216" s="5">
        <f t="shared" si="3"/>
        <v>58130</v>
      </c>
    </row>
    <row r="217" spans="1:10" x14ac:dyDescent="0.25">
      <c r="A217" s="6">
        <v>216</v>
      </c>
      <c r="B217" t="s">
        <v>1640</v>
      </c>
      <c r="C217" t="s">
        <v>361</v>
      </c>
      <c r="D217" t="s">
        <v>28</v>
      </c>
      <c r="E217" t="str">
        <f>VLOOKUP(D217,'Tên SP'!B$2:C$1070,2,0)</f>
        <v>NƯỚC XẢ VẢI LIXSOFT HƯƠNG HOA HỒNG 3,6L/C04</v>
      </c>
      <c r="F217" s="4">
        <v>79000</v>
      </c>
      <c r="G217">
        <v>1</v>
      </c>
      <c r="H217" s="4">
        <v>79000</v>
      </c>
      <c r="I217" s="4">
        <v>0</v>
      </c>
      <c r="J217" s="5">
        <f t="shared" si="3"/>
        <v>79000</v>
      </c>
    </row>
    <row r="218" spans="1:10" x14ac:dyDescent="0.25">
      <c r="A218" s="6">
        <v>217</v>
      </c>
      <c r="B218" t="s">
        <v>1641</v>
      </c>
      <c r="C218" t="s">
        <v>362</v>
      </c>
      <c r="D218" t="s">
        <v>104</v>
      </c>
      <c r="E218" t="str">
        <f>VLOOKUP(D218,'Tên SP'!B$2:C$1070,2,0)</f>
        <v>NƯỚC GIẶT LIX ĐẬM ĐẶC 2KG/C06</v>
      </c>
      <c r="F218" s="4">
        <v>60720</v>
      </c>
      <c r="G218">
        <v>1</v>
      </c>
      <c r="H218" s="4">
        <v>60720</v>
      </c>
      <c r="I218" s="4">
        <v>-50</v>
      </c>
      <c r="J218" s="5">
        <f t="shared" si="3"/>
        <v>60670</v>
      </c>
    </row>
    <row r="219" spans="1:10" x14ac:dyDescent="0.25">
      <c r="A219" s="6">
        <v>218</v>
      </c>
      <c r="B219" t="s">
        <v>1641</v>
      </c>
      <c r="C219" t="s">
        <v>362</v>
      </c>
      <c r="D219" t="s">
        <v>104</v>
      </c>
      <c r="E219" t="str">
        <f>VLOOKUP(D219,'Tên SP'!B$2:C$1070,2,0)</f>
        <v>NƯỚC GIẶT LIX ĐẬM ĐẶC 2KG/C06</v>
      </c>
      <c r="F219" s="4">
        <v>60720</v>
      </c>
      <c r="G219">
        <v>1</v>
      </c>
      <c r="H219" s="4">
        <v>60720</v>
      </c>
      <c r="I219" s="4">
        <v>-50</v>
      </c>
      <c r="J219" s="5">
        <f t="shared" si="3"/>
        <v>60670</v>
      </c>
    </row>
    <row r="220" spans="1:10" x14ac:dyDescent="0.25">
      <c r="A220" s="6">
        <v>219</v>
      </c>
      <c r="B220" t="s">
        <v>1642</v>
      </c>
      <c r="C220" t="s">
        <v>363</v>
      </c>
      <c r="D220" t="s">
        <v>71</v>
      </c>
      <c r="E220" t="str">
        <f>VLOOKUP(D220,'Tên SP'!B$2:C$1070,2,0)</f>
        <v>NƯỚC RỬA CHÉN SIÊU SẠCH CHANH 3,5KG/T04- TÚI</v>
      </c>
      <c r="F220" s="4">
        <v>66000</v>
      </c>
      <c r="G220">
        <v>1</v>
      </c>
      <c r="H220" s="4">
        <v>66000</v>
      </c>
      <c r="I220" s="4">
        <v>-750</v>
      </c>
      <c r="J220" s="5">
        <f t="shared" si="3"/>
        <v>65250</v>
      </c>
    </row>
    <row r="221" spans="1:10" x14ac:dyDescent="0.25">
      <c r="A221" s="6">
        <v>220</v>
      </c>
      <c r="B221" t="s">
        <v>1643</v>
      </c>
      <c r="C221" t="s">
        <v>364</v>
      </c>
      <c r="D221" t="s">
        <v>28</v>
      </c>
      <c r="E221" t="str">
        <f>VLOOKUP(D221,'Tên SP'!B$2:C$1070,2,0)</f>
        <v>NƯỚC XẢ VẢI LIXSOFT HƯƠNG HOA HỒNG 3,6L/C04</v>
      </c>
      <c r="F221" s="4">
        <v>79000</v>
      </c>
      <c r="G221">
        <v>1</v>
      </c>
      <c r="H221" s="4">
        <v>79000</v>
      </c>
      <c r="I221" s="4">
        <v>-5075</v>
      </c>
      <c r="J221" s="5">
        <f t="shared" si="3"/>
        <v>73925</v>
      </c>
    </row>
    <row r="222" spans="1:10" x14ac:dyDescent="0.25">
      <c r="A222" s="6">
        <v>221</v>
      </c>
      <c r="B222" t="s">
        <v>1643</v>
      </c>
      <c r="C222" t="s">
        <v>364</v>
      </c>
      <c r="D222" t="s">
        <v>28</v>
      </c>
      <c r="E222" t="str">
        <f>VLOOKUP(D222,'Tên SP'!B$2:C$1070,2,0)</f>
        <v>NƯỚC XẢ VẢI LIXSOFT HƯƠNG HOA HỒNG 3,6L/C04</v>
      </c>
      <c r="F222" s="4">
        <v>79000</v>
      </c>
      <c r="G222">
        <v>1</v>
      </c>
      <c r="H222" s="4">
        <v>79000</v>
      </c>
      <c r="I222" s="4">
        <v>-5075</v>
      </c>
      <c r="J222" s="5">
        <f t="shared" si="3"/>
        <v>73925</v>
      </c>
    </row>
    <row r="223" spans="1:10" x14ac:dyDescent="0.25">
      <c r="A223" s="6">
        <v>222</v>
      </c>
      <c r="B223" t="s">
        <v>1643</v>
      </c>
      <c r="C223" t="s">
        <v>364</v>
      </c>
      <c r="D223" t="s">
        <v>28</v>
      </c>
      <c r="E223" t="str">
        <f>VLOOKUP(D223,'Tên SP'!B$2:C$1070,2,0)</f>
        <v>NƯỚC XẢ VẢI LIXSOFT HƯƠNG HOA HỒNG 3,6L/C04</v>
      </c>
      <c r="F223" s="4">
        <v>79000</v>
      </c>
      <c r="G223">
        <v>1</v>
      </c>
      <c r="H223" s="4">
        <v>79000</v>
      </c>
      <c r="I223" s="4">
        <v>-5075</v>
      </c>
      <c r="J223" s="5">
        <f t="shared" si="3"/>
        <v>73925</v>
      </c>
    </row>
    <row r="224" spans="1:10" x14ac:dyDescent="0.25">
      <c r="A224" s="6">
        <v>223</v>
      </c>
      <c r="B224" t="s">
        <v>1643</v>
      </c>
      <c r="C224" t="s">
        <v>364</v>
      </c>
      <c r="D224" t="s">
        <v>28</v>
      </c>
      <c r="E224" t="str">
        <f>VLOOKUP(D224,'Tên SP'!B$2:C$1070,2,0)</f>
        <v>NƯỚC XẢ VẢI LIXSOFT HƯƠNG HOA HỒNG 3,6L/C04</v>
      </c>
      <c r="F224" s="4">
        <v>79000</v>
      </c>
      <c r="G224">
        <v>1</v>
      </c>
      <c r="H224" s="4">
        <v>79000</v>
      </c>
      <c r="I224" s="4">
        <v>-5075</v>
      </c>
      <c r="J224" s="5">
        <f t="shared" si="3"/>
        <v>73925</v>
      </c>
    </row>
    <row r="225" spans="1:10" x14ac:dyDescent="0.25">
      <c r="A225" s="6">
        <v>224</v>
      </c>
      <c r="B225" t="s">
        <v>1644</v>
      </c>
      <c r="C225" t="s">
        <v>365</v>
      </c>
      <c r="D225" t="s">
        <v>28</v>
      </c>
      <c r="E225" t="str">
        <f>VLOOKUP(D225,'Tên SP'!B$2:C$1070,2,0)</f>
        <v>NƯỚC XẢ VẢI LIXSOFT HƯƠNG HOA HỒNG 3,6L/C04</v>
      </c>
      <c r="F225" s="4">
        <v>79000</v>
      </c>
      <c r="G225">
        <v>1</v>
      </c>
      <c r="H225" s="4">
        <v>79000</v>
      </c>
      <c r="I225" s="4">
        <v>-10200</v>
      </c>
      <c r="J225" s="5">
        <f t="shared" si="3"/>
        <v>68800</v>
      </c>
    </row>
    <row r="226" spans="1:10" x14ac:dyDescent="0.25">
      <c r="A226" s="6">
        <v>225</v>
      </c>
      <c r="B226" t="s">
        <v>1645</v>
      </c>
      <c r="C226" t="s">
        <v>366</v>
      </c>
      <c r="D226" t="s">
        <v>102</v>
      </c>
      <c r="E226" t="str">
        <f>VLOOKUP(D226,'Tên SP'!B$2:C$1070,2,0)</f>
        <v>NƯỚC GIẶT LIX HƯƠNG NƯỚC HOA 3,5KG/T04 TÚI</v>
      </c>
      <c r="F226" s="4">
        <v>95100</v>
      </c>
      <c r="G226">
        <v>1</v>
      </c>
      <c r="H226" s="4">
        <v>95100</v>
      </c>
      <c r="I226" s="4">
        <v>-11902</v>
      </c>
      <c r="J226" s="5">
        <f t="shared" si="3"/>
        <v>83198</v>
      </c>
    </row>
    <row r="227" spans="1:10" x14ac:dyDescent="0.25">
      <c r="A227" s="6">
        <v>226</v>
      </c>
      <c r="B227" t="s">
        <v>1646</v>
      </c>
      <c r="C227" t="s">
        <v>367</v>
      </c>
      <c r="D227" t="s">
        <v>162</v>
      </c>
      <c r="E227" t="str">
        <f>VLOOKUP(D227,'Tên SP'!B$2:C$1070,2,0)</f>
        <v>NƯỚC GIẶT XẢ MATIC ON1 GARDEN OF FAME 2,6KG/C04</v>
      </c>
      <c r="F227" s="4">
        <v>125100</v>
      </c>
      <c r="G227">
        <v>1</v>
      </c>
      <c r="H227" s="4">
        <v>125100</v>
      </c>
      <c r="I227" s="4">
        <v>-2502</v>
      </c>
      <c r="J227" s="5">
        <f t="shared" si="3"/>
        <v>122598</v>
      </c>
    </row>
    <row r="228" spans="1:10" x14ac:dyDescent="0.25">
      <c r="A228" s="6">
        <v>227</v>
      </c>
      <c r="B228" t="s">
        <v>1647</v>
      </c>
      <c r="C228" t="s">
        <v>368</v>
      </c>
      <c r="D228" t="s">
        <v>106</v>
      </c>
      <c r="E228" t="str">
        <f>VLOOKUP(D228,'Tên SP'!B$2:C$1070,2,0)</f>
        <v>NƯỚC GIẶT LIX SIÊU SẠCH HOA ANH ĐÀO 2.4KG/T06</v>
      </c>
      <c r="F228" s="4">
        <v>60720</v>
      </c>
      <c r="G228">
        <v>1</v>
      </c>
      <c r="H228" s="4">
        <v>60720</v>
      </c>
      <c r="I228" s="4">
        <v>-100</v>
      </c>
      <c r="J228" s="5">
        <f t="shared" si="3"/>
        <v>60620</v>
      </c>
    </row>
    <row r="229" spans="1:10" x14ac:dyDescent="0.25">
      <c r="A229" s="6">
        <v>228</v>
      </c>
      <c r="B229" t="s">
        <v>1648</v>
      </c>
      <c r="C229" t="s">
        <v>369</v>
      </c>
      <c r="D229" t="s">
        <v>106</v>
      </c>
      <c r="E229" t="str">
        <f>VLOOKUP(D229,'Tên SP'!B$2:C$1070,2,0)</f>
        <v>NƯỚC GIẶT LIX SIÊU SẠCH HOA ANH ĐÀO 2.4KG/T06</v>
      </c>
      <c r="F229" s="4">
        <v>60720</v>
      </c>
      <c r="G229">
        <v>1</v>
      </c>
      <c r="H229" s="4">
        <v>60720</v>
      </c>
      <c r="I229" s="4">
        <v>-1214</v>
      </c>
      <c r="J229" s="5">
        <f t="shared" si="3"/>
        <v>59506</v>
      </c>
    </row>
    <row r="230" spans="1:10" x14ac:dyDescent="0.25">
      <c r="A230" s="6">
        <v>229</v>
      </c>
      <c r="B230" t="s">
        <v>1648</v>
      </c>
      <c r="C230" t="s">
        <v>369</v>
      </c>
      <c r="D230" t="s">
        <v>106</v>
      </c>
      <c r="E230" t="str">
        <f>VLOOKUP(D230,'Tên SP'!B$2:C$1070,2,0)</f>
        <v>NƯỚC GIẶT LIX SIÊU SẠCH HOA ANH ĐÀO 2.4KG/T06</v>
      </c>
      <c r="F230" s="4">
        <v>60720</v>
      </c>
      <c r="G230">
        <v>1</v>
      </c>
      <c r="H230" s="4">
        <v>60720</v>
      </c>
      <c r="I230" s="4">
        <v>-1214</v>
      </c>
      <c r="J230" s="5">
        <f t="shared" si="3"/>
        <v>59506</v>
      </c>
    </row>
    <row r="231" spans="1:10" x14ac:dyDescent="0.25">
      <c r="A231" s="6">
        <v>230</v>
      </c>
      <c r="B231" t="s">
        <v>1649</v>
      </c>
      <c r="C231" t="s">
        <v>370</v>
      </c>
      <c r="D231" t="s">
        <v>108</v>
      </c>
      <c r="E231" t="str">
        <f>VLOOKUP(D231,'Tên SP'!B$2:C$1070,2,0)</f>
        <v>NƯỚC GIẶT LIX SIÊU SẠCH HOA ANH ĐÀO 3.5KG/C04</v>
      </c>
      <c r="F231" s="4">
        <v>111000</v>
      </c>
      <c r="G231">
        <v>1</v>
      </c>
      <c r="H231" s="4">
        <v>111000</v>
      </c>
      <c r="I231" s="4">
        <v>-2050</v>
      </c>
      <c r="J231" s="5">
        <f t="shared" si="3"/>
        <v>108950</v>
      </c>
    </row>
    <row r="232" spans="1:10" x14ac:dyDescent="0.25">
      <c r="A232" s="6">
        <v>231</v>
      </c>
      <c r="B232" t="s">
        <v>1650</v>
      </c>
      <c r="C232" t="s">
        <v>371</v>
      </c>
      <c r="D232" t="s">
        <v>152</v>
      </c>
      <c r="E232" t="str">
        <f>VLOOKUP(D232,'Tên SP'!B$2:C$1070,2,0)</f>
        <v>NƯỚC GIẶT ON1 CHỐNG LEM MÀU FRESH SAKURA 3,5KG/T04 (TÚI)</v>
      </c>
      <c r="F232" s="4">
        <v>0</v>
      </c>
      <c r="G232">
        <v>1</v>
      </c>
      <c r="H232" s="4">
        <v>0</v>
      </c>
      <c r="I232" s="4">
        <v>0</v>
      </c>
      <c r="J232" s="5">
        <f t="shared" si="3"/>
        <v>0</v>
      </c>
    </row>
    <row r="233" spans="1:10" x14ac:dyDescent="0.25">
      <c r="A233" s="6">
        <v>232</v>
      </c>
      <c r="B233" t="s">
        <v>1651</v>
      </c>
      <c r="C233" t="s">
        <v>372</v>
      </c>
      <c r="D233" t="s">
        <v>28</v>
      </c>
      <c r="E233" t="str">
        <f>VLOOKUP(D233,'Tên SP'!B$2:C$1070,2,0)</f>
        <v>NƯỚC XẢ VẢI LIXSOFT HƯƠNG HOA HỒNG 3,6L/C04</v>
      </c>
      <c r="F233" s="4">
        <v>79000</v>
      </c>
      <c r="G233">
        <v>1</v>
      </c>
      <c r="H233" s="4">
        <v>79000</v>
      </c>
      <c r="I233" s="4">
        <v>-600</v>
      </c>
      <c r="J233" s="5">
        <f t="shared" si="3"/>
        <v>78400</v>
      </c>
    </row>
    <row r="234" spans="1:10" x14ac:dyDescent="0.25">
      <c r="A234" s="6">
        <v>233</v>
      </c>
      <c r="B234" t="s">
        <v>1652</v>
      </c>
      <c r="C234" t="s">
        <v>373</v>
      </c>
      <c r="D234" t="s">
        <v>23</v>
      </c>
      <c r="E234" t="str">
        <f>VLOOKUP(D234,'Tên SP'!B$2:C$1070,2,0)</f>
        <v>NƯỚC XẢ VẢI LIXSOFT 3,6L/C04</v>
      </c>
      <c r="F234" s="4">
        <v>89000</v>
      </c>
      <c r="G234">
        <v>1</v>
      </c>
      <c r="H234" s="4">
        <v>89000</v>
      </c>
      <c r="I234" s="4">
        <v>-5000</v>
      </c>
      <c r="J234" s="5">
        <f t="shared" si="3"/>
        <v>84000</v>
      </c>
    </row>
    <row r="235" spans="1:10" x14ac:dyDescent="0.25">
      <c r="A235" s="6">
        <v>234</v>
      </c>
      <c r="B235" t="s">
        <v>1652</v>
      </c>
      <c r="C235" t="s">
        <v>373</v>
      </c>
      <c r="D235" t="s">
        <v>23</v>
      </c>
      <c r="E235" t="str">
        <f>VLOOKUP(D235,'Tên SP'!B$2:C$1070,2,0)</f>
        <v>NƯỚC XẢ VẢI LIXSOFT 3,6L/C04</v>
      </c>
      <c r="F235" s="4">
        <v>89000</v>
      </c>
      <c r="G235">
        <v>1</v>
      </c>
      <c r="H235" s="4">
        <v>89000</v>
      </c>
      <c r="I235" s="4">
        <v>-5000</v>
      </c>
      <c r="J235" s="5">
        <f t="shared" si="3"/>
        <v>84000</v>
      </c>
    </row>
    <row r="236" spans="1:10" x14ac:dyDescent="0.25">
      <c r="A236" s="6">
        <v>235</v>
      </c>
      <c r="B236" t="s">
        <v>1652</v>
      </c>
      <c r="C236" t="s">
        <v>373</v>
      </c>
      <c r="D236" t="s">
        <v>23</v>
      </c>
      <c r="E236" t="str">
        <f>VLOOKUP(D236,'Tên SP'!B$2:C$1070,2,0)</f>
        <v>NƯỚC XẢ VẢI LIXSOFT 3,6L/C04</v>
      </c>
      <c r="F236" s="4">
        <v>89000</v>
      </c>
      <c r="G236">
        <v>1</v>
      </c>
      <c r="H236" s="4">
        <v>89000</v>
      </c>
      <c r="I236" s="4">
        <v>-5000</v>
      </c>
      <c r="J236" s="5">
        <f t="shared" si="3"/>
        <v>84000</v>
      </c>
    </row>
    <row r="237" spans="1:10" x14ac:dyDescent="0.25">
      <c r="A237" s="6">
        <v>236</v>
      </c>
      <c r="B237" t="s">
        <v>1652</v>
      </c>
      <c r="C237" t="s">
        <v>373</v>
      </c>
      <c r="D237" t="s">
        <v>23</v>
      </c>
      <c r="E237" t="str">
        <f>VLOOKUP(D237,'Tên SP'!B$2:C$1070,2,0)</f>
        <v>NƯỚC XẢ VẢI LIXSOFT 3,6L/C04</v>
      </c>
      <c r="F237" s="4">
        <v>89000</v>
      </c>
      <c r="G237">
        <v>1</v>
      </c>
      <c r="H237" s="4">
        <v>89000</v>
      </c>
      <c r="I237" s="4">
        <v>-5000</v>
      </c>
      <c r="J237" s="5">
        <f t="shared" si="3"/>
        <v>84000</v>
      </c>
    </row>
    <row r="238" spans="1:10" x14ac:dyDescent="0.25">
      <c r="A238" s="6">
        <v>237</v>
      </c>
      <c r="B238" t="s">
        <v>1653</v>
      </c>
      <c r="C238" t="s">
        <v>374</v>
      </c>
      <c r="D238" t="s">
        <v>106</v>
      </c>
      <c r="E238" t="str">
        <f>VLOOKUP(D238,'Tên SP'!B$2:C$1070,2,0)</f>
        <v>NƯỚC GIẶT LIX SIÊU SẠCH HOA ANH ĐÀO 2.4KG/T06</v>
      </c>
      <c r="F238" s="4">
        <v>60720</v>
      </c>
      <c r="G238">
        <v>1</v>
      </c>
      <c r="H238" s="4">
        <v>60720</v>
      </c>
      <c r="I238" s="4">
        <v>-701</v>
      </c>
      <c r="J238" s="5">
        <f t="shared" si="3"/>
        <v>60019</v>
      </c>
    </row>
    <row r="239" spans="1:10" x14ac:dyDescent="0.25">
      <c r="A239" s="6">
        <v>238</v>
      </c>
      <c r="B239" t="s">
        <v>1653</v>
      </c>
      <c r="C239" t="s">
        <v>374</v>
      </c>
      <c r="D239" t="s">
        <v>106</v>
      </c>
      <c r="E239" t="str">
        <f>VLOOKUP(D239,'Tên SP'!B$2:C$1070,2,0)</f>
        <v>NƯỚC GIẶT LIX SIÊU SẠCH HOA ANH ĐÀO 2.4KG/T06</v>
      </c>
      <c r="F239" s="4">
        <v>60720</v>
      </c>
      <c r="G239">
        <v>1</v>
      </c>
      <c r="H239" s="4">
        <v>60720</v>
      </c>
      <c r="I239" s="4">
        <v>-700</v>
      </c>
      <c r="J239" s="5">
        <f t="shared" si="3"/>
        <v>60020</v>
      </c>
    </row>
    <row r="240" spans="1:10" x14ac:dyDescent="0.25">
      <c r="A240" s="6">
        <v>239</v>
      </c>
      <c r="B240" t="s">
        <v>1654</v>
      </c>
      <c r="C240" t="s">
        <v>375</v>
      </c>
      <c r="D240" t="s">
        <v>9</v>
      </c>
      <c r="E240" t="str">
        <f>VLOOKUP(D240,'Tên SP'!B$2:C$1070,2,0)</f>
        <v>NƯỚC GIẶT LIX ĐẬM ĐẶC 3,5KG/T04 TÚI</v>
      </c>
      <c r="F240" s="4">
        <v>95100</v>
      </c>
      <c r="G240">
        <v>1</v>
      </c>
      <c r="H240" s="4">
        <v>95100</v>
      </c>
      <c r="I240" s="4">
        <v>-1275</v>
      </c>
      <c r="J240" s="5">
        <f t="shared" si="3"/>
        <v>93825</v>
      </c>
    </row>
    <row r="241" spans="1:10" x14ac:dyDescent="0.25">
      <c r="A241" s="6">
        <v>240</v>
      </c>
      <c r="B241" t="s">
        <v>1655</v>
      </c>
      <c r="C241" t="s">
        <v>376</v>
      </c>
      <c r="D241" t="s">
        <v>28</v>
      </c>
      <c r="E241" t="str">
        <f>VLOOKUP(D241,'Tên SP'!B$2:C$1070,2,0)</f>
        <v>NƯỚC XẢ VẢI LIXSOFT HƯƠNG HOA HỒNG 3,6L/C04</v>
      </c>
      <c r="F241" s="4">
        <v>79000</v>
      </c>
      <c r="G241">
        <v>1</v>
      </c>
      <c r="H241" s="4">
        <v>79000</v>
      </c>
      <c r="I241" s="4">
        <v>0</v>
      </c>
      <c r="J241" s="5">
        <f t="shared" si="3"/>
        <v>79000</v>
      </c>
    </row>
    <row r="242" spans="1:10" x14ac:dyDescent="0.25">
      <c r="A242" s="6">
        <v>241</v>
      </c>
      <c r="B242" t="s">
        <v>1656</v>
      </c>
      <c r="C242" t="s">
        <v>377</v>
      </c>
      <c r="D242" t="s">
        <v>106</v>
      </c>
      <c r="E242" t="str">
        <f>VLOOKUP(D242,'Tên SP'!B$2:C$1070,2,0)</f>
        <v>NƯỚC GIẶT LIX SIÊU SẠCH HOA ANH ĐÀO 2.4KG/T06</v>
      </c>
      <c r="F242" s="4">
        <v>60720</v>
      </c>
      <c r="G242">
        <v>1</v>
      </c>
      <c r="H242" s="4">
        <v>60720</v>
      </c>
      <c r="I242" s="4">
        <v>-150</v>
      </c>
      <c r="J242" s="5">
        <f t="shared" si="3"/>
        <v>60570</v>
      </c>
    </row>
    <row r="243" spans="1:10" x14ac:dyDescent="0.25">
      <c r="A243" s="6">
        <v>242</v>
      </c>
      <c r="B243" t="s">
        <v>1657</v>
      </c>
      <c r="C243" t="s">
        <v>378</v>
      </c>
      <c r="D243" t="s">
        <v>126</v>
      </c>
      <c r="E243" t="str">
        <f>VLOOKUP(D243,'Tên SP'!B$2:C$1070,2,0)</f>
        <v>NƯỚC RỬA CHÉN ON1 CHANH SẢ 1,5KG/C08</v>
      </c>
      <c r="F243" s="4">
        <v>43800</v>
      </c>
      <c r="G243">
        <v>1</v>
      </c>
      <c r="H243" s="4">
        <v>43800</v>
      </c>
      <c r="I243" s="4">
        <v>-8000</v>
      </c>
      <c r="J243" s="5">
        <f t="shared" si="3"/>
        <v>35800</v>
      </c>
    </row>
    <row r="244" spans="1:10" x14ac:dyDescent="0.25">
      <c r="A244" s="6">
        <v>243</v>
      </c>
      <c r="B244" t="s">
        <v>1658</v>
      </c>
      <c r="C244" t="s">
        <v>379</v>
      </c>
      <c r="D244" t="s">
        <v>104</v>
      </c>
      <c r="E244" t="str">
        <f>VLOOKUP(D244,'Tên SP'!B$2:C$1070,2,0)</f>
        <v>NƯỚC GIẶT LIX ĐẬM ĐẶC 2KG/C06</v>
      </c>
      <c r="F244" s="4">
        <v>66000</v>
      </c>
      <c r="G244">
        <v>1</v>
      </c>
      <c r="H244" s="4">
        <v>66000</v>
      </c>
      <c r="I244" s="4">
        <v>-200</v>
      </c>
      <c r="J244" s="5">
        <f t="shared" si="3"/>
        <v>65800</v>
      </c>
    </row>
    <row r="245" spans="1:10" x14ac:dyDescent="0.25">
      <c r="A245" s="6">
        <v>244</v>
      </c>
      <c r="B245" t="s">
        <v>1659</v>
      </c>
      <c r="C245" t="s">
        <v>380</v>
      </c>
      <c r="D245" t="s">
        <v>102</v>
      </c>
      <c r="E245" t="str">
        <f>VLOOKUP(D245,'Tên SP'!B$2:C$1070,2,0)</f>
        <v>NƯỚC GIẶT LIX HƯƠNG NƯỚC HOA 3,5KG/T04 TÚI</v>
      </c>
      <c r="F245" s="4">
        <v>95100</v>
      </c>
      <c r="G245">
        <v>1</v>
      </c>
      <c r="H245" s="4">
        <v>95100</v>
      </c>
      <c r="I245" s="4">
        <v>-600</v>
      </c>
      <c r="J245" s="5">
        <f t="shared" si="3"/>
        <v>94500</v>
      </c>
    </row>
    <row r="246" spans="1:10" x14ac:dyDescent="0.25">
      <c r="A246" s="6">
        <v>245</v>
      </c>
      <c r="B246" t="s">
        <v>1660</v>
      </c>
      <c r="C246" t="s">
        <v>381</v>
      </c>
      <c r="D246" t="s">
        <v>198</v>
      </c>
      <c r="E246" t="str">
        <f>VLOOKUP(D246,'Tên SP'!B$2:C$1070,2,0)</f>
        <v>NƯỚC LAU BẾP ON1 500ML/CH20</v>
      </c>
      <c r="F246" s="4">
        <v>39150</v>
      </c>
      <c r="G246">
        <v>1</v>
      </c>
      <c r="H246" s="4">
        <v>39150</v>
      </c>
      <c r="I246" s="4">
        <v>0</v>
      </c>
      <c r="J246" s="5">
        <f t="shared" si="3"/>
        <v>39150</v>
      </c>
    </row>
    <row r="247" spans="1:10" x14ac:dyDescent="0.25">
      <c r="A247" s="6">
        <v>246</v>
      </c>
      <c r="B247" t="s">
        <v>1660</v>
      </c>
      <c r="C247" t="s">
        <v>381</v>
      </c>
      <c r="D247" t="s">
        <v>95</v>
      </c>
      <c r="E247" t="str">
        <f>VLOOKUP(D247,'Tên SP'!B$2:C$1070,2,0)</f>
        <v>NƯỚC LAU SÀN LIX ĐUỐI CÔN TRÙNG 1L/CH12</v>
      </c>
      <c r="F247" s="4">
        <v>34320</v>
      </c>
      <c r="G247">
        <v>1</v>
      </c>
      <c r="H247" s="4">
        <v>34320</v>
      </c>
      <c r="I247" s="4">
        <v>0</v>
      </c>
      <c r="J247" s="5">
        <f t="shared" si="3"/>
        <v>34320</v>
      </c>
    </row>
    <row r="248" spans="1:10" x14ac:dyDescent="0.25">
      <c r="A248" s="6">
        <v>247</v>
      </c>
      <c r="B248" t="s">
        <v>1660</v>
      </c>
      <c r="C248" t="s">
        <v>381</v>
      </c>
      <c r="D248" t="s">
        <v>28</v>
      </c>
      <c r="E248" t="str">
        <f>VLOOKUP(D248,'Tên SP'!B$2:C$1070,2,0)</f>
        <v>NƯỚC XẢ VẢI LIXSOFT HƯƠNG HOA HỒNG 3,6L/C04</v>
      </c>
      <c r="F248" s="4">
        <v>79000</v>
      </c>
      <c r="G248">
        <v>1</v>
      </c>
      <c r="H248" s="4">
        <v>79000</v>
      </c>
      <c r="I248" s="4">
        <v>0</v>
      </c>
      <c r="J248" s="5">
        <f t="shared" si="3"/>
        <v>79000</v>
      </c>
    </row>
    <row r="249" spans="1:10" x14ac:dyDescent="0.25">
      <c r="A249" s="6">
        <v>248</v>
      </c>
      <c r="B249" t="s">
        <v>1661</v>
      </c>
      <c r="C249" t="s">
        <v>382</v>
      </c>
      <c r="D249" t="s">
        <v>106</v>
      </c>
      <c r="E249" t="str">
        <f>VLOOKUP(D249,'Tên SP'!B$2:C$1070,2,0)</f>
        <v>NƯỚC GIẶT LIX SIÊU SẠCH HOA ANH ĐÀO 2.4KG/T06</v>
      </c>
      <c r="F249" s="4">
        <v>60720</v>
      </c>
      <c r="G249">
        <v>1</v>
      </c>
      <c r="H249" s="4">
        <v>60720</v>
      </c>
      <c r="I249" s="4">
        <v>0</v>
      </c>
      <c r="J249" s="5">
        <f t="shared" si="3"/>
        <v>60720</v>
      </c>
    </row>
    <row r="250" spans="1:10" x14ac:dyDescent="0.25">
      <c r="A250" s="6">
        <v>249</v>
      </c>
      <c r="B250" t="s">
        <v>1662</v>
      </c>
      <c r="C250" t="s">
        <v>383</v>
      </c>
      <c r="D250" t="s">
        <v>152</v>
      </c>
      <c r="E250" t="str">
        <f>VLOOKUP(D250,'Tên SP'!B$2:C$1070,2,0)</f>
        <v>NƯỚC GIẶT ON1 CHỐNG LEM MÀU FRESH SAKURA 3,5KG/T04 (TÚI)</v>
      </c>
      <c r="F250" s="4">
        <v>0</v>
      </c>
      <c r="G250">
        <v>1</v>
      </c>
      <c r="H250" s="4">
        <v>0</v>
      </c>
      <c r="I250" s="4">
        <v>0</v>
      </c>
      <c r="J250" s="5">
        <f t="shared" si="3"/>
        <v>0</v>
      </c>
    </row>
    <row r="251" spans="1:10" x14ac:dyDescent="0.25">
      <c r="A251" s="6">
        <v>250</v>
      </c>
      <c r="B251" t="s">
        <v>1663</v>
      </c>
      <c r="C251" t="s">
        <v>384</v>
      </c>
      <c r="D251" t="s">
        <v>106</v>
      </c>
      <c r="E251" t="str">
        <f>VLOOKUP(D251,'Tên SP'!B$2:C$1070,2,0)</f>
        <v>NƯỚC GIẶT LIX SIÊU SẠCH HOA ANH ĐÀO 2.4KG/T06</v>
      </c>
      <c r="F251" s="4">
        <v>60720</v>
      </c>
      <c r="G251">
        <v>1</v>
      </c>
      <c r="H251" s="4">
        <v>60720</v>
      </c>
      <c r="I251" s="4">
        <v>0</v>
      </c>
      <c r="J251" s="5">
        <f t="shared" si="3"/>
        <v>60720</v>
      </c>
    </row>
    <row r="252" spans="1:10" x14ac:dyDescent="0.25">
      <c r="A252" s="6">
        <v>251</v>
      </c>
      <c r="B252" t="s">
        <v>1664</v>
      </c>
      <c r="C252" t="s">
        <v>385</v>
      </c>
      <c r="D252" t="s">
        <v>152</v>
      </c>
      <c r="E252" t="str">
        <f>VLOOKUP(D252,'Tên SP'!B$2:C$1070,2,0)</f>
        <v>NƯỚC GIẶT ON1 CHỐNG LEM MÀU FRESH SAKURA 3,5KG/T04 (TÚI)</v>
      </c>
      <c r="F252" s="4">
        <v>0</v>
      </c>
      <c r="G252">
        <v>1</v>
      </c>
      <c r="H252" s="4">
        <v>0</v>
      </c>
      <c r="I252" s="4">
        <v>0</v>
      </c>
      <c r="J252" s="5">
        <f t="shared" si="3"/>
        <v>0</v>
      </c>
    </row>
    <row r="253" spans="1:10" x14ac:dyDescent="0.25">
      <c r="A253" s="6">
        <v>252</v>
      </c>
      <c r="B253" t="s">
        <v>1665</v>
      </c>
      <c r="C253" t="s">
        <v>386</v>
      </c>
      <c r="D253" t="s">
        <v>152</v>
      </c>
      <c r="E253" t="str">
        <f>VLOOKUP(D253,'Tên SP'!B$2:C$1070,2,0)</f>
        <v>NƯỚC GIẶT ON1 CHỐNG LEM MÀU FRESH SAKURA 3,5KG/T04 (TÚI)</v>
      </c>
      <c r="F253" s="4">
        <v>0</v>
      </c>
      <c r="G253">
        <v>1</v>
      </c>
      <c r="H253" s="4">
        <v>0</v>
      </c>
      <c r="I253" s="4">
        <v>0</v>
      </c>
      <c r="J253" s="5">
        <f t="shared" si="3"/>
        <v>0</v>
      </c>
    </row>
    <row r="254" spans="1:10" x14ac:dyDescent="0.25">
      <c r="A254" s="6">
        <v>253</v>
      </c>
      <c r="B254" t="s">
        <v>1666</v>
      </c>
      <c r="C254" t="s">
        <v>387</v>
      </c>
      <c r="D254" t="s">
        <v>138</v>
      </c>
      <c r="E254" t="str">
        <f>VLOOKUP(D254,'Tên SP'!B$2:C$1070,2,0)</f>
        <v>NƯỚC RỬA CHÉN ON1 TRÀ XANH MUỐI HỒNG 750G/CH12</v>
      </c>
      <c r="F254" s="4">
        <v>29000</v>
      </c>
      <c r="G254">
        <v>1</v>
      </c>
      <c r="H254" s="4">
        <v>29000</v>
      </c>
      <c r="I254" s="4">
        <v>-8580</v>
      </c>
      <c r="J254" s="5">
        <f t="shared" si="3"/>
        <v>20420</v>
      </c>
    </row>
    <row r="255" spans="1:10" x14ac:dyDescent="0.25">
      <c r="A255" s="6">
        <v>254</v>
      </c>
      <c r="B255" t="s">
        <v>1666</v>
      </c>
      <c r="C255" t="s">
        <v>387</v>
      </c>
      <c r="D255" t="s">
        <v>152</v>
      </c>
      <c r="E255" t="str">
        <f>VLOOKUP(D255,'Tên SP'!B$2:C$1070,2,0)</f>
        <v>NƯỚC GIẶT ON1 CHỐNG LEM MÀU FRESH SAKURA 3,5KG/T04 (TÚI)</v>
      </c>
      <c r="F255" s="4">
        <v>0</v>
      </c>
      <c r="G255">
        <v>1</v>
      </c>
      <c r="H255" s="4">
        <v>0</v>
      </c>
      <c r="I255" s="4">
        <v>0</v>
      </c>
      <c r="J255" s="5">
        <f t="shared" si="3"/>
        <v>0</v>
      </c>
    </row>
    <row r="256" spans="1:10" x14ac:dyDescent="0.25">
      <c r="A256" s="6">
        <v>255</v>
      </c>
      <c r="B256" t="s">
        <v>1667</v>
      </c>
      <c r="C256" t="s">
        <v>388</v>
      </c>
      <c r="D256" t="s">
        <v>108</v>
      </c>
      <c r="E256" t="str">
        <f>VLOOKUP(D256,'Tên SP'!B$2:C$1070,2,0)</f>
        <v>NƯỚC GIẶT LIX SIÊU SẠCH HOA ANH ĐÀO 3.5KG/C04</v>
      </c>
      <c r="F256" s="4">
        <v>111000</v>
      </c>
      <c r="G256">
        <v>1</v>
      </c>
      <c r="H256" s="4">
        <v>111000</v>
      </c>
      <c r="I256" s="4">
        <v>-89600</v>
      </c>
      <c r="J256" s="5">
        <f t="shared" si="3"/>
        <v>21400</v>
      </c>
    </row>
    <row r="257" spans="1:10" x14ac:dyDescent="0.25">
      <c r="A257" s="6">
        <v>256</v>
      </c>
      <c r="B257" t="s">
        <v>1668</v>
      </c>
      <c r="C257" t="s">
        <v>389</v>
      </c>
      <c r="D257" t="s">
        <v>102</v>
      </c>
      <c r="E257" t="str">
        <f>VLOOKUP(D257,'Tên SP'!B$2:C$1070,2,0)</f>
        <v>NƯỚC GIẶT LIX HƯƠNG NƯỚC HOA 3,5KG/T04 TÚI</v>
      </c>
      <c r="F257" s="4">
        <v>95100</v>
      </c>
      <c r="G257">
        <v>1</v>
      </c>
      <c r="H257" s="4">
        <v>95100</v>
      </c>
      <c r="I257" s="4">
        <v>0</v>
      </c>
      <c r="J257" s="5">
        <f t="shared" si="3"/>
        <v>95100</v>
      </c>
    </row>
    <row r="258" spans="1:10" x14ac:dyDescent="0.25">
      <c r="A258" s="6">
        <v>257</v>
      </c>
      <c r="B258" t="s">
        <v>1669</v>
      </c>
      <c r="C258" t="s">
        <v>390</v>
      </c>
      <c r="D258" t="s">
        <v>28</v>
      </c>
      <c r="E258" t="str">
        <f>VLOOKUP(D258,'Tên SP'!B$2:C$1070,2,0)</f>
        <v>NƯỚC XẢ VẢI LIXSOFT HƯƠNG HOA HỒNG 3,6L/C04</v>
      </c>
      <c r="F258" s="4">
        <v>79000</v>
      </c>
      <c r="G258">
        <v>1</v>
      </c>
      <c r="H258" s="4">
        <v>79000</v>
      </c>
      <c r="I258" s="4">
        <v>0</v>
      </c>
      <c r="J258" s="5">
        <f t="shared" si="3"/>
        <v>79000</v>
      </c>
    </row>
    <row r="259" spans="1:10" x14ac:dyDescent="0.25">
      <c r="A259" s="6">
        <v>258</v>
      </c>
      <c r="B259" t="s">
        <v>1670</v>
      </c>
      <c r="C259" t="s">
        <v>391</v>
      </c>
      <c r="D259" t="s">
        <v>28</v>
      </c>
      <c r="E259" t="str">
        <f>VLOOKUP(D259,'Tên SP'!B$2:C$1070,2,0)</f>
        <v>NƯỚC XẢ VẢI LIXSOFT HƯƠNG HOA HỒNG 3,6L/C04</v>
      </c>
      <c r="F259" s="4">
        <v>79000</v>
      </c>
      <c r="G259">
        <v>1</v>
      </c>
      <c r="H259" s="4">
        <v>79000</v>
      </c>
      <c r="I259" s="4">
        <v>-5200</v>
      </c>
      <c r="J259" s="5">
        <f t="shared" ref="J259:J322" si="4">H259+I259</f>
        <v>73800</v>
      </c>
    </row>
    <row r="260" spans="1:10" x14ac:dyDescent="0.25">
      <c r="A260" s="6">
        <v>259</v>
      </c>
      <c r="B260" t="s">
        <v>1670</v>
      </c>
      <c r="C260" t="s">
        <v>391</v>
      </c>
      <c r="D260" t="s">
        <v>28</v>
      </c>
      <c r="E260" t="str">
        <f>VLOOKUP(D260,'Tên SP'!B$2:C$1070,2,0)</f>
        <v>NƯỚC XẢ VẢI LIXSOFT HƯƠNG HOA HỒNG 3,6L/C04</v>
      </c>
      <c r="F260" s="4">
        <v>79000</v>
      </c>
      <c r="G260">
        <v>1</v>
      </c>
      <c r="H260" s="4">
        <v>79000</v>
      </c>
      <c r="I260" s="4">
        <v>-5199</v>
      </c>
      <c r="J260" s="5">
        <f t="shared" si="4"/>
        <v>73801</v>
      </c>
    </row>
    <row r="261" spans="1:10" x14ac:dyDescent="0.25">
      <c r="A261" s="6">
        <v>260</v>
      </c>
      <c r="B261" t="s">
        <v>1671</v>
      </c>
      <c r="C261" t="s">
        <v>392</v>
      </c>
      <c r="D261" t="s">
        <v>152</v>
      </c>
      <c r="E261" t="str">
        <f>VLOOKUP(D261,'Tên SP'!B$2:C$1070,2,0)</f>
        <v>NƯỚC GIẶT ON1 CHỐNG LEM MÀU FRESH SAKURA 3,5KG/T04 (TÚI)</v>
      </c>
      <c r="F261" s="4">
        <v>0</v>
      </c>
      <c r="G261">
        <v>1</v>
      </c>
      <c r="H261" s="4">
        <v>0</v>
      </c>
      <c r="I261" s="4">
        <v>0</v>
      </c>
      <c r="J261" s="5">
        <f t="shared" si="4"/>
        <v>0</v>
      </c>
    </row>
    <row r="262" spans="1:10" x14ac:dyDescent="0.25">
      <c r="A262" s="6">
        <v>261</v>
      </c>
      <c r="B262" t="s">
        <v>1671</v>
      </c>
      <c r="C262" t="s">
        <v>392</v>
      </c>
      <c r="D262" t="s">
        <v>184</v>
      </c>
      <c r="E262" t="str">
        <f>VLOOKUP(D262,'Tên SP'!B$2:C$1070,2,0)</f>
        <v>GEL DIỆT KHUẨN TAY ON1 60ML/CH80</v>
      </c>
      <c r="F262" s="4">
        <v>24000</v>
      </c>
      <c r="G262">
        <v>1</v>
      </c>
      <c r="H262" s="4">
        <v>24000</v>
      </c>
      <c r="I262" s="4">
        <v>-24000</v>
      </c>
      <c r="J262" s="5">
        <f t="shared" si="4"/>
        <v>0</v>
      </c>
    </row>
    <row r="263" spans="1:10" x14ac:dyDescent="0.25">
      <c r="A263" s="6">
        <v>262</v>
      </c>
      <c r="B263" t="s">
        <v>1672</v>
      </c>
      <c r="C263" t="s">
        <v>393</v>
      </c>
      <c r="D263" t="s">
        <v>85</v>
      </c>
      <c r="E263" t="str">
        <f>VLOOKUP(D263,'Tên SP'!B$2:C$1070,2,0)</f>
        <v>NƯỚC RỬA CHÉN SIÊU SẠCH TRÀ 3,6KG/C04</v>
      </c>
      <c r="F263" s="4">
        <v>72100</v>
      </c>
      <c r="G263">
        <v>1</v>
      </c>
      <c r="H263" s="4">
        <v>72100</v>
      </c>
      <c r="I263" s="4">
        <v>-5442</v>
      </c>
      <c r="J263" s="5">
        <f t="shared" si="4"/>
        <v>66658</v>
      </c>
    </row>
    <row r="264" spans="1:10" x14ac:dyDescent="0.25">
      <c r="A264" s="6">
        <v>263</v>
      </c>
      <c r="B264" t="s">
        <v>1672</v>
      </c>
      <c r="C264" t="s">
        <v>393</v>
      </c>
      <c r="D264" t="s">
        <v>85</v>
      </c>
      <c r="E264" t="str">
        <f>VLOOKUP(D264,'Tên SP'!B$2:C$1070,2,0)</f>
        <v>NƯỚC RỬA CHÉN SIÊU SẠCH TRÀ 3,6KG/C04</v>
      </c>
      <c r="F264" s="4">
        <v>72100</v>
      </c>
      <c r="G264">
        <v>1</v>
      </c>
      <c r="H264" s="4">
        <v>72100</v>
      </c>
      <c r="I264" s="4">
        <v>-5442</v>
      </c>
      <c r="J264" s="5">
        <f t="shared" si="4"/>
        <v>66658</v>
      </c>
    </row>
    <row r="265" spans="1:10" x14ac:dyDescent="0.25">
      <c r="A265" s="6">
        <v>264</v>
      </c>
      <c r="B265" t="s">
        <v>1673</v>
      </c>
      <c r="C265" t="s">
        <v>394</v>
      </c>
      <c r="D265" t="s">
        <v>9</v>
      </c>
      <c r="E265" t="str">
        <f>VLOOKUP(D265,'Tên SP'!B$2:C$1070,2,0)</f>
        <v>NƯỚC GIẶT LIX ĐẬM ĐẶC 3,5KG/T04 TÚI</v>
      </c>
      <c r="F265" s="4">
        <v>95100</v>
      </c>
      <c r="G265">
        <v>1</v>
      </c>
      <c r="H265" s="4">
        <v>95100</v>
      </c>
      <c r="I265" s="4">
        <v>-8000</v>
      </c>
      <c r="J265" s="5">
        <f t="shared" si="4"/>
        <v>87100</v>
      </c>
    </row>
    <row r="266" spans="1:10" x14ac:dyDescent="0.25">
      <c r="A266" s="6">
        <v>265</v>
      </c>
      <c r="B266" t="s">
        <v>1674</v>
      </c>
      <c r="C266" t="s">
        <v>395</v>
      </c>
      <c r="D266" t="s">
        <v>9</v>
      </c>
      <c r="E266" t="str">
        <f>VLOOKUP(D266,'Tên SP'!B$2:C$1070,2,0)</f>
        <v>NƯỚC GIẶT LIX ĐẬM ĐẶC 3,5KG/T04 TÚI</v>
      </c>
      <c r="F266" s="4">
        <v>95100</v>
      </c>
      <c r="G266">
        <v>1</v>
      </c>
      <c r="H266" s="4">
        <v>95100</v>
      </c>
      <c r="I266" s="4">
        <v>-10000</v>
      </c>
      <c r="J266" s="5">
        <f t="shared" si="4"/>
        <v>85100</v>
      </c>
    </row>
    <row r="267" spans="1:10" x14ac:dyDescent="0.25">
      <c r="A267" s="6">
        <v>266</v>
      </c>
      <c r="B267" t="s">
        <v>1675</v>
      </c>
      <c r="C267" t="s">
        <v>396</v>
      </c>
      <c r="D267" t="s">
        <v>152</v>
      </c>
      <c r="E267" t="str">
        <f>VLOOKUP(D267,'Tên SP'!B$2:C$1070,2,0)</f>
        <v>NƯỚC GIẶT ON1 CHỐNG LEM MÀU FRESH SAKURA 3,5KG/T04 (TÚI)</v>
      </c>
      <c r="F267" s="4">
        <v>0</v>
      </c>
      <c r="G267">
        <v>1</v>
      </c>
      <c r="H267" s="4">
        <v>0</v>
      </c>
      <c r="I267" s="4">
        <v>0</v>
      </c>
      <c r="J267" s="5">
        <f t="shared" si="4"/>
        <v>0</v>
      </c>
    </row>
    <row r="268" spans="1:10" x14ac:dyDescent="0.25">
      <c r="A268" s="6">
        <v>267</v>
      </c>
      <c r="B268" t="s">
        <v>1675</v>
      </c>
      <c r="C268" t="s">
        <v>396</v>
      </c>
      <c r="D268" t="s">
        <v>184</v>
      </c>
      <c r="E268" t="str">
        <f>VLOOKUP(D268,'Tên SP'!B$2:C$1070,2,0)</f>
        <v>GEL DIỆT KHUẨN TAY ON1 60ML/CH80</v>
      </c>
      <c r="F268" s="4">
        <v>24000</v>
      </c>
      <c r="G268">
        <v>1</v>
      </c>
      <c r="H268" s="4">
        <v>24000</v>
      </c>
      <c r="I268" s="4">
        <v>-24000</v>
      </c>
      <c r="J268" s="5">
        <f t="shared" si="4"/>
        <v>0</v>
      </c>
    </row>
    <row r="269" spans="1:10" x14ac:dyDescent="0.25">
      <c r="A269" s="6">
        <v>268</v>
      </c>
      <c r="B269" t="s">
        <v>1676</v>
      </c>
      <c r="C269" t="s">
        <v>397</v>
      </c>
      <c r="D269" t="s">
        <v>152</v>
      </c>
      <c r="E269" t="str">
        <f>VLOOKUP(D269,'Tên SP'!B$2:C$1070,2,0)</f>
        <v>NƯỚC GIẶT ON1 CHỐNG LEM MÀU FRESH SAKURA 3,5KG/T04 (TÚI)</v>
      </c>
      <c r="F269" s="4">
        <v>0</v>
      </c>
      <c r="G269">
        <v>1</v>
      </c>
      <c r="H269" s="4">
        <v>0</v>
      </c>
      <c r="I269" s="4">
        <v>0</v>
      </c>
      <c r="J269" s="5">
        <f t="shared" si="4"/>
        <v>0</v>
      </c>
    </row>
    <row r="270" spans="1:10" x14ac:dyDescent="0.25">
      <c r="A270" s="6">
        <v>269</v>
      </c>
      <c r="B270" t="s">
        <v>1676</v>
      </c>
      <c r="C270" t="s">
        <v>397</v>
      </c>
      <c r="D270" t="s">
        <v>184</v>
      </c>
      <c r="E270" t="str">
        <f>VLOOKUP(D270,'Tên SP'!B$2:C$1070,2,0)</f>
        <v>GEL DIỆT KHUẨN TAY ON1 60ML/CH80</v>
      </c>
      <c r="F270" s="4">
        <v>24000</v>
      </c>
      <c r="G270">
        <v>1</v>
      </c>
      <c r="H270" s="4">
        <v>24000</v>
      </c>
      <c r="I270" s="4">
        <v>-24000</v>
      </c>
      <c r="J270" s="5">
        <f t="shared" si="4"/>
        <v>0</v>
      </c>
    </row>
    <row r="271" spans="1:10" x14ac:dyDescent="0.25">
      <c r="A271" s="6">
        <v>270</v>
      </c>
      <c r="B271" t="s">
        <v>1677</v>
      </c>
      <c r="C271" t="s">
        <v>398</v>
      </c>
      <c r="D271" t="s">
        <v>152</v>
      </c>
      <c r="E271" t="str">
        <f>VLOOKUP(D271,'Tên SP'!B$2:C$1070,2,0)</f>
        <v>NƯỚC GIẶT ON1 CHỐNG LEM MÀU FRESH SAKURA 3,5KG/T04 (TÚI)</v>
      </c>
      <c r="F271" s="4">
        <v>0</v>
      </c>
      <c r="G271">
        <v>1</v>
      </c>
      <c r="H271" s="4">
        <v>0</v>
      </c>
      <c r="I271" s="4">
        <v>0</v>
      </c>
      <c r="J271" s="5">
        <f t="shared" si="4"/>
        <v>0</v>
      </c>
    </row>
    <row r="272" spans="1:10" x14ac:dyDescent="0.25">
      <c r="A272" s="6">
        <v>271</v>
      </c>
      <c r="B272" t="s">
        <v>1677</v>
      </c>
      <c r="C272" t="s">
        <v>398</v>
      </c>
      <c r="D272" t="s">
        <v>184</v>
      </c>
      <c r="E272" t="str">
        <f>VLOOKUP(D272,'Tên SP'!B$2:C$1070,2,0)</f>
        <v>GEL DIỆT KHUẨN TAY ON1 60ML/CH80</v>
      </c>
      <c r="F272" s="4">
        <v>24000</v>
      </c>
      <c r="G272">
        <v>1</v>
      </c>
      <c r="H272" s="4">
        <v>24000</v>
      </c>
      <c r="I272" s="4">
        <v>-24000</v>
      </c>
      <c r="J272" s="5">
        <f t="shared" si="4"/>
        <v>0</v>
      </c>
    </row>
    <row r="273" spans="1:10" x14ac:dyDescent="0.25">
      <c r="A273" s="6">
        <v>272</v>
      </c>
      <c r="B273" t="s">
        <v>1678</v>
      </c>
      <c r="C273" t="s">
        <v>399</v>
      </c>
      <c r="D273" t="s">
        <v>152</v>
      </c>
      <c r="E273" t="str">
        <f>VLOOKUP(D273,'Tên SP'!B$2:C$1070,2,0)</f>
        <v>NƯỚC GIẶT ON1 CHỐNG LEM MÀU FRESH SAKURA 3,5KG/T04 (TÚI)</v>
      </c>
      <c r="F273" s="4">
        <v>0</v>
      </c>
      <c r="G273">
        <v>1</v>
      </c>
      <c r="H273" s="4">
        <v>0</v>
      </c>
      <c r="I273" s="4">
        <v>0</v>
      </c>
      <c r="J273" s="5">
        <f t="shared" si="4"/>
        <v>0</v>
      </c>
    </row>
    <row r="274" spans="1:10" x14ac:dyDescent="0.25">
      <c r="A274" s="6">
        <v>273</v>
      </c>
      <c r="B274" t="s">
        <v>1678</v>
      </c>
      <c r="C274" t="s">
        <v>399</v>
      </c>
      <c r="D274" t="s">
        <v>184</v>
      </c>
      <c r="E274" t="str">
        <f>VLOOKUP(D274,'Tên SP'!B$2:C$1070,2,0)</f>
        <v>GEL DIỆT KHUẨN TAY ON1 60ML/CH80</v>
      </c>
      <c r="F274" s="4">
        <v>24000</v>
      </c>
      <c r="G274">
        <v>1</v>
      </c>
      <c r="H274" s="4">
        <v>24000</v>
      </c>
      <c r="I274" s="4">
        <v>-24000</v>
      </c>
      <c r="J274" s="5">
        <f t="shared" si="4"/>
        <v>0</v>
      </c>
    </row>
    <row r="275" spans="1:10" x14ac:dyDescent="0.25">
      <c r="A275" s="6">
        <v>274</v>
      </c>
      <c r="B275" t="s">
        <v>1678</v>
      </c>
      <c r="C275" t="s">
        <v>400</v>
      </c>
      <c r="D275" t="s">
        <v>152</v>
      </c>
      <c r="E275" t="str">
        <f>VLOOKUP(D275,'Tên SP'!B$2:C$1070,2,0)</f>
        <v>NƯỚC GIẶT ON1 CHỐNG LEM MÀU FRESH SAKURA 3,5KG/T04 (TÚI)</v>
      </c>
      <c r="F275" s="4">
        <v>0</v>
      </c>
      <c r="G275">
        <v>1</v>
      </c>
      <c r="H275" s="4">
        <v>0</v>
      </c>
      <c r="I275" s="4">
        <v>0</v>
      </c>
      <c r="J275" s="5">
        <f t="shared" si="4"/>
        <v>0</v>
      </c>
    </row>
    <row r="276" spans="1:10" x14ac:dyDescent="0.25">
      <c r="A276" s="6">
        <v>275</v>
      </c>
      <c r="B276" t="s">
        <v>1678</v>
      </c>
      <c r="C276" t="s">
        <v>400</v>
      </c>
      <c r="D276" t="s">
        <v>184</v>
      </c>
      <c r="E276" t="str">
        <f>VLOOKUP(D276,'Tên SP'!B$2:C$1070,2,0)</f>
        <v>GEL DIỆT KHUẨN TAY ON1 60ML/CH80</v>
      </c>
      <c r="F276" s="4">
        <v>24000</v>
      </c>
      <c r="G276">
        <v>1</v>
      </c>
      <c r="H276" s="4">
        <v>24000</v>
      </c>
      <c r="I276" s="4">
        <v>-24000</v>
      </c>
      <c r="J276" s="5">
        <f t="shared" si="4"/>
        <v>0</v>
      </c>
    </row>
    <row r="277" spans="1:10" x14ac:dyDescent="0.25">
      <c r="A277" s="6">
        <v>276</v>
      </c>
      <c r="B277" t="s">
        <v>1679</v>
      </c>
      <c r="C277" t="s">
        <v>401</v>
      </c>
      <c r="D277" t="s">
        <v>152</v>
      </c>
      <c r="E277" t="str">
        <f>VLOOKUP(D277,'Tên SP'!B$2:C$1070,2,0)</f>
        <v>NƯỚC GIẶT ON1 CHỐNG LEM MÀU FRESH SAKURA 3,5KG/T04 (TÚI)</v>
      </c>
      <c r="F277" s="4">
        <v>0</v>
      </c>
      <c r="G277">
        <v>1</v>
      </c>
      <c r="H277" s="4">
        <v>0</v>
      </c>
      <c r="I277" s="4">
        <v>0</v>
      </c>
      <c r="J277" s="5">
        <f t="shared" si="4"/>
        <v>0</v>
      </c>
    </row>
    <row r="278" spans="1:10" x14ac:dyDescent="0.25">
      <c r="A278" s="6">
        <v>277</v>
      </c>
      <c r="B278" t="s">
        <v>1679</v>
      </c>
      <c r="C278" t="s">
        <v>401</v>
      </c>
      <c r="D278" t="s">
        <v>184</v>
      </c>
      <c r="E278" t="str">
        <f>VLOOKUP(D278,'Tên SP'!B$2:C$1070,2,0)</f>
        <v>GEL DIỆT KHUẨN TAY ON1 60ML/CH80</v>
      </c>
      <c r="F278" s="4">
        <v>24000</v>
      </c>
      <c r="G278">
        <v>1</v>
      </c>
      <c r="H278" s="4">
        <v>24000</v>
      </c>
      <c r="I278" s="4">
        <v>-24000</v>
      </c>
      <c r="J278" s="5">
        <f t="shared" si="4"/>
        <v>0</v>
      </c>
    </row>
    <row r="279" spans="1:10" x14ac:dyDescent="0.25">
      <c r="A279" s="6">
        <v>278</v>
      </c>
      <c r="B279" t="s">
        <v>1679</v>
      </c>
      <c r="C279" t="s">
        <v>402</v>
      </c>
      <c r="D279" t="s">
        <v>152</v>
      </c>
      <c r="E279" t="str">
        <f>VLOOKUP(D279,'Tên SP'!B$2:C$1070,2,0)</f>
        <v>NƯỚC GIẶT ON1 CHỐNG LEM MÀU FRESH SAKURA 3,5KG/T04 (TÚI)</v>
      </c>
      <c r="F279" s="4">
        <v>0</v>
      </c>
      <c r="G279">
        <v>1</v>
      </c>
      <c r="H279" s="4">
        <v>0</v>
      </c>
      <c r="I279" s="4">
        <v>0</v>
      </c>
      <c r="J279" s="5">
        <f t="shared" si="4"/>
        <v>0</v>
      </c>
    </row>
    <row r="280" spans="1:10" x14ac:dyDescent="0.25">
      <c r="A280" s="6">
        <v>279</v>
      </c>
      <c r="B280" t="s">
        <v>1679</v>
      </c>
      <c r="C280" t="s">
        <v>402</v>
      </c>
      <c r="D280" t="s">
        <v>184</v>
      </c>
      <c r="E280" t="str">
        <f>VLOOKUP(D280,'Tên SP'!B$2:C$1070,2,0)</f>
        <v>GEL DIỆT KHUẨN TAY ON1 60ML/CH80</v>
      </c>
      <c r="F280" s="4">
        <v>24000</v>
      </c>
      <c r="G280">
        <v>1</v>
      </c>
      <c r="H280" s="4">
        <v>24000</v>
      </c>
      <c r="I280" s="4">
        <v>-24000</v>
      </c>
      <c r="J280" s="5">
        <f t="shared" si="4"/>
        <v>0</v>
      </c>
    </row>
    <row r="281" spans="1:10" x14ac:dyDescent="0.25">
      <c r="A281" s="6">
        <v>280</v>
      </c>
      <c r="B281" t="s">
        <v>1679</v>
      </c>
      <c r="C281" t="s">
        <v>403</v>
      </c>
      <c r="D281" t="s">
        <v>152</v>
      </c>
      <c r="E281" t="str">
        <f>VLOOKUP(D281,'Tên SP'!B$2:C$1070,2,0)</f>
        <v>NƯỚC GIẶT ON1 CHỐNG LEM MÀU FRESH SAKURA 3,5KG/T04 (TÚI)</v>
      </c>
      <c r="F281" s="4">
        <v>0</v>
      </c>
      <c r="G281">
        <v>1</v>
      </c>
      <c r="H281" s="4">
        <v>0</v>
      </c>
      <c r="I281" s="4">
        <v>0</v>
      </c>
      <c r="J281" s="5">
        <f t="shared" si="4"/>
        <v>0</v>
      </c>
    </row>
    <row r="282" spans="1:10" x14ac:dyDescent="0.25">
      <c r="A282" s="6">
        <v>281</v>
      </c>
      <c r="B282" t="s">
        <v>1679</v>
      </c>
      <c r="C282" t="s">
        <v>403</v>
      </c>
      <c r="D282" t="s">
        <v>184</v>
      </c>
      <c r="E282" t="str">
        <f>VLOOKUP(D282,'Tên SP'!B$2:C$1070,2,0)</f>
        <v>GEL DIỆT KHUẨN TAY ON1 60ML/CH80</v>
      </c>
      <c r="F282" s="4">
        <v>24000</v>
      </c>
      <c r="G282">
        <v>1</v>
      </c>
      <c r="H282" s="4">
        <v>24000</v>
      </c>
      <c r="I282" s="4">
        <v>-24000</v>
      </c>
      <c r="J282" s="5">
        <f t="shared" si="4"/>
        <v>0</v>
      </c>
    </row>
    <row r="283" spans="1:10" x14ac:dyDescent="0.25">
      <c r="A283" s="6">
        <v>282</v>
      </c>
      <c r="B283" t="s">
        <v>1679</v>
      </c>
      <c r="C283" t="s">
        <v>404</v>
      </c>
      <c r="D283" t="s">
        <v>152</v>
      </c>
      <c r="E283" t="str">
        <f>VLOOKUP(D283,'Tên SP'!B$2:C$1070,2,0)</f>
        <v>NƯỚC GIẶT ON1 CHỐNG LEM MÀU FRESH SAKURA 3,5KG/T04 (TÚI)</v>
      </c>
      <c r="F283" s="4">
        <v>0</v>
      </c>
      <c r="G283">
        <v>1</v>
      </c>
      <c r="H283" s="4">
        <v>0</v>
      </c>
      <c r="I283" s="4">
        <v>0</v>
      </c>
      <c r="J283" s="5">
        <f t="shared" si="4"/>
        <v>0</v>
      </c>
    </row>
    <row r="284" spans="1:10" x14ac:dyDescent="0.25">
      <c r="A284" s="6">
        <v>283</v>
      </c>
      <c r="B284" t="s">
        <v>1679</v>
      </c>
      <c r="C284" t="s">
        <v>404</v>
      </c>
      <c r="D284" t="s">
        <v>184</v>
      </c>
      <c r="E284" t="str">
        <f>VLOOKUP(D284,'Tên SP'!B$2:C$1070,2,0)</f>
        <v>GEL DIỆT KHUẨN TAY ON1 60ML/CH80</v>
      </c>
      <c r="F284" s="4">
        <v>24000</v>
      </c>
      <c r="G284">
        <v>1</v>
      </c>
      <c r="H284" s="4">
        <v>24000</v>
      </c>
      <c r="I284" s="4">
        <v>-24000</v>
      </c>
      <c r="J284" s="5">
        <f t="shared" si="4"/>
        <v>0</v>
      </c>
    </row>
    <row r="285" spans="1:10" x14ac:dyDescent="0.25">
      <c r="A285" s="6">
        <v>284</v>
      </c>
      <c r="B285" t="s">
        <v>1679</v>
      </c>
      <c r="C285" t="s">
        <v>405</v>
      </c>
      <c r="D285" t="s">
        <v>152</v>
      </c>
      <c r="E285" t="str">
        <f>VLOOKUP(D285,'Tên SP'!B$2:C$1070,2,0)</f>
        <v>NƯỚC GIẶT ON1 CHỐNG LEM MÀU FRESH SAKURA 3,5KG/T04 (TÚI)</v>
      </c>
      <c r="F285" s="4">
        <v>0</v>
      </c>
      <c r="G285">
        <v>1</v>
      </c>
      <c r="H285" s="4">
        <v>0</v>
      </c>
      <c r="I285" s="4">
        <v>0</v>
      </c>
      <c r="J285" s="5">
        <f t="shared" si="4"/>
        <v>0</v>
      </c>
    </row>
    <row r="286" spans="1:10" x14ac:dyDescent="0.25">
      <c r="A286" s="6">
        <v>285</v>
      </c>
      <c r="B286" t="s">
        <v>1679</v>
      </c>
      <c r="C286" t="s">
        <v>405</v>
      </c>
      <c r="D286" t="s">
        <v>184</v>
      </c>
      <c r="E286" t="str">
        <f>VLOOKUP(D286,'Tên SP'!B$2:C$1070,2,0)</f>
        <v>GEL DIỆT KHUẨN TAY ON1 60ML/CH80</v>
      </c>
      <c r="F286" s="4">
        <v>24000</v>
      </c>
      <c r="G286">
        <v>1</v>
      </c>
      <c r="H286" s="4">
        <v>24000</v>
      </c>
      <c r="I286" s="4">
        <v>-24000</v>
      </c>
      <c r="J286" s="5">
        <f t="shared" si="4"/>
        <v>0</v>
      </c>
    </row>
    <row r="287" spans="1:10" x14ac:dyDescent="0.25">
      <c r="A287" s="6">
        <v>286</v>
      </c>
      <c r="B287" t="s">
        <v>1679</v>
      </c>
      <c r="C287" t="s">
        <v>406</v>
      </c>
      <c r="D287" t="s">
        <v>152</v>
      </c>
      <c r="E287" t="str">
        <f>VLOOKUP(D287,'Tên SP'!B$2:C$1070,2,0)</f>
        <v>NƯỚC GIẶT ON1 CHỐNG LEM MÀU FRESH SAKURA 3,5KG/T04 (TÚI)</v>
      </c>
      <c r="F287" s="4">
        <v>0</v>
      </c>
      <c r="G287">
        <v>1</v>
      </c>
      <c r="H287" s="4">
        <v>0</v>
      </c>
      <c r="I287" s="4">
        <v>0</v>
      </c>
      <c r="J287" s="5">
        <f t="shared" si="4"/>
        <v>0</v>
      </c>
    </row>
    <row r="288" spans="1:10" x14ac:dyDescent="0.25">
      <c r="A288" s="6">
        <v>287</v>
      </c>
      <c r="B288" t="s">
        <v>1679</v>
      </c>
      <c r="C288" t="s">
        <v>406</v>
      </c>
      <c r="D288" t="s">
        <v>184</v>
      </c>
      <c r="E288" t="str">
        <f>VLOOKUP(D288,'Tên SP'!B$2:C$1070,2,0)</f>
        <v>GEL DIỆT KHUẨN TAY ON1 60ML/CH80</v>
      </c>
      <c r="F288" s="4">
        <v>24000</v>
      </c>
      <c r="G288">
        <v>1</v>
      </c>
      <c r="H288" s="4">
        <v>24000</v>
      </c>
      <c r="I288" s="4">
        <v>-24000</v>
      </c>
      <c r="J288" s="5">
        <f t="shared" si="4"/>
        <v>0</v>
      </c>
    </row>
    <row r="289" spans="1:10" x14ac:dyDescent="0.25">
      <c r="A289" s="6">
        <v>288</v>
      </c>
      <c r="B289" t="s">
        <v>1679</v>
      </c>
      <c r="C289" t="s">
        <v>407</v>
      </c>
      <c r="D289" t="s">
        <v>28</v>
      </c>
      <c r="E289" t="str">
        <f>VLOOKUP(D289,'Tên SP'!B$2:C$1070,2,0)</f>
        <v>NƯỚC XẢ VẢI LIXSOFT HƯƠNG HOA HỒNG 3,6L/C04</v>
      </c>
      <c r="F289" s="4">
        <v>79000</v>
      </c>
      <c r="G289">
        <v>1</v>
      </c>
      <c r="H289" s="4">
        <v>79000</v>
      </c>
      <c r="I289" s="4">
        <v>-10050</v>
      </c>
      <c r="J289" s="5">
        <f t="shared" si="4"/>
        <v>68950</v>
      </c>
    </row>
    <row r="290" spans="1:10" x14ac:dyDescent="0.25">
      <c r="A290" s="6">
        <v>289</v>
      </c>
      <c r="B290" t="s">
        <v>1680</v>
      </c>
      <c r="C290" t="s">
        <v>408</v>
      </c>
      <c r="D290" t="s">
        <v>108</v>
      </c>
      <c r="E290" t="str">
        <f>VLOOKUP(D290,'Tên SP'!B$2:C$1070,2,0)</f>
        <v>NƯỚC GIẶT LIX SIÊU SẠCH HOA ANH ĐÀO 3.5KG/C04</v>
      </c>
      <c r="F290" s="4">
        <v>111000</v>
      </c>
      <c r="G290">
        <v>1</v>
      </c>
      <c r="H290" s="4">
        <v>111000</v>
      </c>
      <c r="I290" s="4">
        <v>-11254</v>
      </c>
      <c r="J290" s="5">
        <f t="shared" si="4"/>
        <v>99746</v>
      </c>
    </row>
    <row r="291" spans="1:10" x14ac:dyDescent="0.25">
      <c r="A291" s="6">
        <v>290</v>
      </c>
      <c r="B291" t="s">
        <v>1681</v>
      </c>
      <c r="C291" t="s">
        <v>409</v>
      </c>
      <c r="D291" t="s">
        <v>117</v>
      </c>
      <c r="E291" t="str">
        <f>VLOOKUP(D291,'Tên SP'!B$2:C$1070,2,0)</f>
        <v>NƯỚC RỬA CHÉN ON1 KIWI-ALOEVERA 1,5KG/C08</v>
      </c>
      <c r="F291" s="4">
        <v>59000</v>
      </c>
      <c r="G291">
        <v>1</v>
      </c>
      <c r="H291" s="4">
        <v>59000</v>
      </c>
      <c r="I291" s="4">
        <v>-9800</v>
      </c>
      <c r="J291" s="5">
        <f t="shared" si="4"/>
        <v>49200</v>
      </c>
    </row>
    <row r="292" spans="1:10" x14ac:dyDescent="0.25">
      <c r="A292" s="6">
        <v>291</v>
      </c>
      <c r="B292" t="s">
        <v>1682</v>
      </c>
      <c r="C292" t="s">
        <v>410</v>
      </c>
      <c r="D292" t="s">
        <v>28</v>
      </c>
      <c r="E292" t="str">
        <f>VLOOKUP(D292,'Tên SP'!B$2:C$1070,2,0)</f>
        <v>NƯỚC XẢ VẢI LIXSOFT HƯƠNG HOA HỒNG 3,6L/C04</v>
      </c>
      <c r="F292" s="4">
        <v>79000</v>
      </c>
      <c r="G292">
        <v>1</v>
      </c>
      <c r="H292" s="4">
        <v>79000</v>
      </c>
      <c r="I292" s="4">
        <v>0</v>
      </c>
      <c r="J292" s="5">
        <f t="shared" si="4"/>
        <v>79000</v>
      </c>
    </row>
    <row r="293" spans="1:10" x14ac:dyDescent="0.25">
      <c r="A293" s="6">
        <v>292</v>
      </c>
      <c r="B293" t="s">
        <v>1682</v>
      </c>
      <c r="C293" t="s">
        <v>411</v>
      </c>
      <c r="D293" t="s">
        <v>106</v>
      </c>
      <c r="E293" t="str">
        <f>VLOOKUP(D293,'Tên SP'!B$2:C$1070,2,0)</f>
        <v>NƯỚC GIẶT LIX SIÊU SẠCH HOA ANH ĐÀO 2.4KG/T06</v>
      </c>
      <c r="F293" s="4">
        <v>65400</v>
      </c>
      <c r="G293">
        <v>1</v>
      </c>
      <c r="H293" s="4">
        <v>65400</v>
      </c>
      <c r="I293" s="4">
        <v>-10596</v>
      </c>
      <c r="J293" s="5">
        <f t="shared" si="4"/>
        <v>54804</v>
      </c>
    </row>
    <row r="294" spans="1:10" x14ac:dyDescent="0.25">
      <c r="A294" s="6">
        <v>293</v>
      </c>
      <c r="B294" t="s">
        <v>1683</v>
      </c>
      <c r="C294" t="s">
        <v>412</v>
      </c>
      <c r="D294" t="s">
        <v>166</v>
      </c>
      <c r="E294" t="str">
        <f>VLOOKUP(D294,'Tên SP'!B$2:C$1070,2,0)</f>
        <v xml:space="preserve">NƯỚC TẨY QUẦN ÁO MÀU ON1 PURPLE FRESHNES 800G/CH12 </v>
      </c>
      <c r="F294" s="4">
        <v>43000</v>
      </c>
      <c r="G294">
        <v>1</v>
      </c>
      <c r="H294" s="4">
        <v>43000</v>
      </c>
      <c r="I294" s="4">
        <v>-7250</v>
      </c>
      <c r="J294" s="5">
        <f t="shared" si="4"/>
        <v>35750</v>
      </c>
    </row>
    <row r="295" spans="1:10" x14ac:dyDescent="0.25">
      <c r="A295" s="6">
        <v>294</v>
      </c>
      <c r="B295" t="s">
        <v>1684</v>
      </c>
      <c r="C295" t="s">
        <v>413</v>
      </c>
      <c r="D295" t="s">
        <v>108</v>
      </c>
      <c r="E295" t="str">
        <f>VLOOKUP(D295,'Tên SP'!B$2:C$1070,2,0)</f>
        <v>NƯỚC GIẶT LIX SIÊU SẠCH HOA ANH ĐÀO 3.5KG/C04</v>
      </c>
      <c r="F295" s="4">
        <v>111000</v>
      </c>
      <c r="G295">
        <v>1</v>
      </c>
      <c r="H295" s="4">
        <v>111000</v>
      </c>
      <c r="I295" s="4">
        <v>-3663</v>
      </c>
      <c r="J295" s="5">
        <f t="shared" si="4"/>
        <v>107337</v>
      </c>
    </row>
    <row r="296" spans="1:10" x14ac:dyDescent="0.25">
      <c r="A296" s="6">
        <v>295</v>
      </c>
      <c r="B296" t="s">
        <v>1684</v>
      </c>
      <c r="C296" t="s">
        <v>413</v>
      </c>
      <c r="D296" t="s">
        <v>176</v>
      </c>
      <c r="E296" t="str">
        <f>VLOOKUP(D296,'Tên SP'!B$2:C$1070,2,0)</f>
        <v>NƯỚC LAU SÀN ON1 TINH DẦU ĐINH HƯƠNG &amp; HOẮC HƯƠNG 2,6L/C06</v>
      </c>
      <c r="F296" s="4">
        <v>96000</v>
      </c>
      <c r="G296">
        <v>1</v>
      </c>
      <c r="H296" s="4">
        <v>96000</v>
      </c>
      <c r="I296" s="4">
        <v>-7968</v>
      </c>
      <c r="J296" s="5">
        <f t="shared" si="4"/>
        <v>88032</v>
      </c>
    </row>
    <row r="297" spans="1:10" x14ac:dyDescent="0.25">
      <c r="A297" s="6">
        <v>296</v>
      </c>
      <c r="B297" t="s">
        <v>1684</v>
      </c>
      <c r="C297" t="s">
        <v>413</v>
      </c>
      <c r="D297" t="s">
        <v>172</v>
      </c>
      <c r="E297" t="str">
        <f>VLOOKUP(D297,'Tên SP'!B$2:C$1070,2,0)</f>
        <v>NƯỚC LAU SÀN ON1 TINH DẦU SẢ 2,6L/C06</v>
      </c>
      <c r="F297" s="4">
        <v>96000</v>
      </c>
      <c r="G297">
        <v>1</v>
      </c>
      <c r="H297" s="4">
        <v>96000</v>
      </c>
      <c r="I297" s="4">
        <v>-8619</v>
      </c>
      <c r="J297" s="5">
        <f t="shared" si="4"/>
        <v>87381</v>
      </c>
    </row>
    <row r="298" spans="1:10" x14ac:dyDescent="0.25">
      <c r="A298" s="6">
        <v>297</v>
      </c>
      <c r="B298" t="s">
        <v>1685</v>
      </c>
      <c r="C298" t="s">
        <v>414</v>
      </c>
      <c r="D298" t="s">
        <v>28</v>
      </c>
      <c r="E298" t="str">
        <f>VLOOKUP(D298,'Tên SP'!B$2:C$1070,2,0)</f>
        <v>NƯỚC XẢ VẢI LIXSOFT HƯƠNG HOA HỒNG 3,6L/C04</v>
      </c>
      <c r="F298" s="4">
        <v>79000</v>
      </c>
      <c r="G298">
        <v>1</v>
      </c>
      <c r="H298" s="4">
        <v>79000</v>
      </c>
      <c r="I298" s="4">
        <v>-10300</v>
      </c>
      <c r="J298" s="5">
        <f t="shared" si="4"/>
        <v>68700</v>
      </c>
    </row>
    <row r="299" spans="1:10" x14ac:dyDescent="0.25">
      <c r="A299" s="6">
        <v>298</v>
      </c>
      <c r="B299" t="s">
        <v>1686</v>
      </c>
      <c r="C299" t="s">
        <v>415</v>
      </c>
      <c r="D299" t="s">
        <v>28</v>
      </c>
      <c r="E299" t="str">
        <f>VLOOKUP(D299,'Tên SP'!B$2:C$1070,2,0)</f>
        <v>NƯỚC XẢ VẢI LIXSOFT HƯƠNG HOA HỒNG 3,6L/C04</v>
      </c>
      <c r="F299" s="4">
        <v>79000</v>
      </c>
      <c r="G299">
        <v>1</v>
      </c>
      <c r="H299" s="4">
        <v>79000</v>
      </c>
      <c r="I299" s="4">
        <v>-11580</v>
      </c>
      <c r="J299" s="5">
        <f t="shared" si="4"/>
        <v>67420</v>
      </c>
    </row>
    <row r="300" spans="1:10" x14ac:dyDescent="0.25">
      <c r="A300" s="6">
        <v>299</v>
      </c>
      <c r="B300" t="s">
        <v>1687</v>
      </c>
      <c r="C300" t="s">
        <v>416</v>
      </c>
      <c r="D300" t="s">
        <v>23</v>
      </c>
      <c r="E300" t="str">
        <f>VLOOKUP(D300,'Tên SP'!B$2:C$1070,2,0)</f>
        <v>NƯỚC XẢ VẢI LIXSOFT 3,6L/C04</v>
      </c>
      <c r="F300" s="4">
        <v>89000</v>
      </c>
      <c r="G300">
        <v>1</v>
      </c>
      <c r="H300" s="4">
        <v>89000</v>
      </c>
      <c r="I300" s="4">
        <v>-150</v>
      </c>
      <c r="J300" s="5">
        <f t="shared" si="4"/>
        <v>88850</v>
      </c>
    </row>
    <row r="301" spans="1:10" x14ac:dyDescent="0.25">
      <c r="A301" s="6">
        <v>300</v>
      </c>
      <c r="B301" t="s">
        <v>1688</v>
      </c>
      <c r="C301" t="s">
        <v>417</v>
      </c>
      <c r="D301" t="s">
        <v>106</v>
      </c>
      <c r="E301" t="str">
        <f>VLOOKUP(D301,'Tên SP'!B$2:C$1070,2,0)</f>
        <v>NƯỚC GIẶT LIX SIÊU SẠCH HOA ANH ĐÀO 2.4KG/T06</v>
      </c>
      <c r="F301" s="4">
        <v>65400</v>
      </c>
      <c r="G301">
        <v>1</v>
      </c>
      <c r="H301" s="4">
        <v>65400</v>
      </c>
      <c r="I301" s="4">
        <v>-10260</v>
      </c>
      <c r="J301" s="5">
        <f t="shared" si="4"/>
        <v>55140</v>
      </c>
    </row>
    <row r="302" spans="1:10" x14ac:dyDescent="0.25">
      <c r="A302" s="6">
        <v>301</v>
      </c>
      <c r="B302" t="s">
        <v>1689</v>
      </c>
      <c r="C302" t="s">
        <v>418</v>
      </c>
      <c r="D302" t="s">
        <v>106</v>
      </c>
      <c r="E302" t="str">
        <f>VLOOKUP(D302,'Tên SP'!B$2:C$1070,2,0)</f>
        <v>NƯỚC GIẶT LIX SIÊU SẠCH HOA ANH ĐÀO 2.4KG/T06</v>
      </c>
      <c r="F302" s="4">
        <v>65400</v>
      </c>
      <c r="G302">
        <v>1</v>
      </c>
      <c r="H302" s="4">
        <v>65400</v>
      </c>
      <c r="I302" s="4">
        <v>-850</v>
      </c>
      <c r="J302" s="5">
        <f t="shared" si="4"/>
        <v>64550</v>
      </c>
    </row>
    <row r="303" spans="1:10" x14ac:dyDescent="0.25">
      <c r="A303" s="6">
        <v>302</v>
      </c>
      <c r="B303" t="s">
        <v>1690</v>
      </c>
      <c r="C303" t="s">
        <v>419</v>
      </c>
      <c r="D303" t="s">
        <v>94</v>
      </c>
      <c r="E303" t="str">
        <f>VLOOKUP(D303,'Tên SP'!B$2:C$1070,2,0)</f>
        <v>NƯỚC LAU SÀN ĐUỔI CÔN TRÙNG LIX 2L/C08</v>
      </c>
      <c r="F303" s="4">
        <v>52500</v>
      </c>
      <c r="G303">
        <v>1</v>
      </c>
      <c r="H303" s="4">
        <v>52500</v>
      </c>
      <c r="I303" s="4">
        <v>-7875</v>
      </c>
      <c r="J303" s="5">
        <f t="shared" si="4"/>
        <v>44625</v>
      </c>
    </row>
    <row r="304" spans="1:10" x14ac:dyDescent="0.25">
      <c r="A304" s="6">
        <v>303</v>
      </c>
      <c r="B304" t="s">
        <v>1691</v>
      </c>
      <c r="C304" t="s">
        <v>420</v>
      </c>
      <c r="D304" t="s">
        <v>38</v>
      </c>
      <c r="E304" t="str">
        <f>VLOOKUP(D304,'Tên SP'!B$2:C$1070,2,0)</f>
        <v>BỘT GIẶT LIXE HƯƠNG NƯỚC HOA 5,5KG/03</v>
      </c>
      <c r="F304" s="4">
        <v>141000</v>
      </c>
      <c r="G304">
        <v>1</v>
      </c>
      <c r="H304" s="4">
        <v>141000</v>
      </c>
      <c r="I304" s="4">
        <v>-350</v>
      </c>
      <c r="J304" s="5">
        <f t="shared" si="4"/>
        <v>140650</v>
      </c>
    </row>
    <row r="305" spans="1:10" x14ac:dyDescent="0.25">
      <c r="A305" s="6">
        <v>304</v>
      </c>
      <c r="B305" t="s">
        <v>1692</v>
      </c>
      <c r="C305" t="s">
        <v>421</v>
      </c>
      <c r="D305" t="s">
        <v>42</v>
      </c>
      <c r="E305" t="str">
        <f>VLOOKUP(D305,'Tên SP'!B$2:C$1070,2,0)</f>
        <v>BỘT GIẶT LIXE HƯƠNG NƯỚC HOA 2,4KG/05</v>
      </c>
      <c r="F305" s="4">
        <v>59840</v>
      </c>
      <c r="G305">
        <v>1</v>
      </c>
      <c r="H305" s="4">
        <v>59840</v>
      </c>
      <c r="I305" s="4">
        <v>-1197</v>
      </c>
      <c r="J305" s="5">
        <f t="shared" si="4"/>
        <v>58643</v>
      </c>
    </row>
    <row r="306" spans="1:10" x14ac:dyDescent="0.25">
      <c r="A306" s="6">
        <v>305</v>
      </c>
      <c r="B306" t="s">
        <v>1693</v>
      </c>
      <c r="C306" t="s">
        <v>422</v>
      </c>
      <c r="D306" t="s">
        <v>9</v>
      </c>
      <c r="E306" t="str">
        <f>VLOOKUP(D306,'Tên SP'!B$2:C$1070,2,0)</f>
        <v>NƯỚC GIẶT LIX ĐẬM ĐẶC 3,5KG/T04 TÚI</v>
      </c>
      <c r="F306" s="4">
        <v>95100</v>
      </c>
      <c r="G306">
        <v>1</v>
      </c>
      <c r="H306" s="4">
        <v>95100</v>
      </c>
      <c r="I306" s="4">
        <v>-50</v>
      </c>
      <c r="J306" s="5">
        <f t="shared" si="4"/>
        <v>95050</v>
      </c>
    </row>
    <row r="307" spans="1:10" x14ac:dyDescent="0.25">
      <c r="A307" s="6">
        <v>306</v>
      </c>
      <c r="B307" t="s">
        <v>1693</v>
      </c>
      <c r="C307" t="s">
        <v>422</v>
      </c>
      <c r="D307" t="s">
        <v>9</v>
      </c>
      <c r="E307" t="str">
        <f>VLOOKUP(D307,'Tên SP'!B$2:C$1070,2,0)</f>
        <v>NƯỚC GIẶT LIX ĐẬM ĐẶC 3,5KG/T04 TÚI</v>
      </c>
      <c r="F307" s="4">
        <v>95100</v>
      </c>
      <c r="G307">
        <v>1</v>
      </c>
      <c r="H307" s="4">
        <v>95100</v>
      </c>
      <c r="I307" s="4">
        <v>-50</v>
      </c>
      <c r="J307" s="5">
        <f t="shared" si="4"/>
        <v>95050</v>
      </c>
    </row>
    <row r="308" spans="1:10" x14ac:dyDescent="0.25">
      <c r="A308" s="6">
        <v>307</v>
      </c>
      <c r="B308" t="s">
        <v>1694</v>
      </c>
      <c r="C308" t="s">
        <v>423</v>
      </c>
      <c r="D308" t="s">
        <v>71</v>
      </c>
      <c r="E308" t="str">
        <f>VLOOKUP(D308,'Tên SP'!B$2:C$1070,2,0)</f>
        <v>NƯỚC RỬA CHÉN SIÊU SẠCH CHANH 3,5KG/T04- TÚI</v>
      </c>
      <c r="F308" s="4">
        <v>70000</v>
      </c>
      <c r="G308">
        <v>1</v>
      </c>
      <c r="H308" s="4">
        <v>70000</v>
      </c>
      <c r="I308" s="4">
        <v>-11400</v>
      </c>
      <c r="J308" s="5">
        <f t="shared" si="4"/>
        <v>58600</v>
      </c>
    </row>
    <row r="309" spans="1:10" x14ac:dyDescent="0.25">
      <c r="A309" s="6">
        <v>308</v>
      </c>
      <c r="B309" t="s">
        <v>1695</v>
      </c>
      <c r="C309" t="s">
        <v>424</v>
      </c>
      <c r="D309" t="s">
        <v>89</v>
      </c>
      <c r="E309" t="str">
        <f>VLOOKUP(D309,'Tên SP'!B$2:C$1070,2,0)</f>
        <v>NƯỚC RỬA CHÉN SIÊU SẠCH TRÀ 750G/CH12</v>
      </c>
      <c r="F309" s="4">
        <v>19000</v>
      </c>
      <c r="G309">
        <v>1</v>
      </c>
      <c r="H309" s="4">
        <v>19000</v>
      </c>
      <c r="I309" s="4">
        <v>-1121</v>
      </c>
      <c r="J309" s="5">
        <f t="shared" si="4"/>
        <v>17879</v>
      </c>
    </row>
    <row r="310" spans="1:10" x14ac:dyDescent="0.25">
      <c r="A310" s="6">
        <v>309</v>
      </c>
      <c r="B310" t="s">
        <v>1695</v>
      </c>
      <c r="C310" t="s">
        <v>424</v>
      </c>
      <c r="D310" t="s">
        <v>89</v>
      </c>
      <c r="E310" t="str">
        <f>VLOOKUP(D310,'Tên SP'!B$2:C$1070,2,0)</f>
        <v>NƯỚC RỬA CHÉN SIÊU SẠCH TRÀ 750G/CH12</v>
      </c>
      <c r="F310" s="4">
        <v>19000</v>
      </c>
      <c r="G310">
        <v>1</v>
      </c>
      <c r="H310" s="4">
        <v>19000</v>
      </c>
      <c r="I310" s="4">
        <v>-1121</v>
      </c>
      <c r="J310" s="5">
        <f t="shared" si="4"/>
        <v>17879</v>
      </c>
    </row>
    <row r="311" spans="1:10" x14ac:dyDescent="0.25">
      <c r="A311" s="6">
        <v>310</v>
      </c>
      <c r="B311" t="s">
        <v>1695</v>
      </c>
      <c r="C311" t="s">
        <v>424</v>
      </c>
      <c r="D311" t="s">
        <v>89</v>
      </c>
      <c r="E311" t="str">
        <f>VLOOKUP(D311,'Tên SP'!B$2:C$1070,2,0)</f>
        <v>NƯỚC RỬA CHÉN SIÊU SẠCH TRÀ 750G/CH12</v>
      </c>
      <c r="F311" s="4">
        <v>19000</v>
      </c>
      <c r="G311">
        <v>1</v>
      </c>
      <c r="H311" s="4">
        <v>19000</v>
      </c>
      <c r="I311" s="4">
        <v>-1121</v>
      </c>
      <c r="J311" s="5">
        <f t="shared" si="4"/>
        <v>17879</v>
      </c>
    </row>
    <row r="312" spans="1:10" x14ac:dyDescent="0.25">
      <c r="A312" s="6">
        <v>311</v>
      </c>
      <c r="B312" t="s">
        <v>1695</v>
      </c>
      <c r="C312" t="s">
        <v>424</v>
      </c>
      <c r="D312" t="s">
        <v>71</v>
      </c>
      <c r="E312" t="str">
        <f>VLOOKUP(D312,'Tên SP'!B$2:C$1070,2,0)</f>
        <v>NƯỚC RỬA CHÉN SIÊU SẠCH CHANH 3,5KG/T04- TÚI</v>
      </c>
      <c r="F312" s="4">
        <v>70000</v>
      </c>
      <c r="G312">
        <v>1</v>
      </c>
      <c r="H312" s="4">
        <v>70000</v>
      </c>
      <c r="I312" s="4">
        <v>-4430</v>
      </c>
      <c r="J312" s="5">
        <f t="shared" si="4"/>
        <v>65570</v>
      </c>
    </row>
    <row r="313" spans="1:10" x14ac:dyDescent="0.25">
      <c r="A313" s="6">
        <v>312</v>
      </c>
      <c r="B313" t="s">
        <v>1695</v>
      </c>
      <c r="C313" t="s">
        <v>424</v>
      </c>
      <c r="D313" t="s">
        <v>29</v>
      </c>
      <c r="E313" t="str">
        <f>VLOOKUP(D313,'Tên SP'!B$2:C$1070,2,0)</f>
        <v>BỘT GIẶT LIXE 9KG/02</v>
      </c>
      <c r="F313" s="4">
        <v>212000</v>
      </c>
      <c r="G313">
        <v>1</v>
      </c>
      <c r="H313" s="4">
        <v>212000</v>
      </c>
      <c r="I313" s="4">
        <v>-12508</v>
      </c>
      <c r="J313" s="5">
        <f t="shared" si="4"/>
        <v>199492</v>
      </c>
    </row>
    <row r="314" spans="1:10" x14ac:dyDescent="0.25">
      <c r="A314" s="6">
        <v>313</v>
      </c>
      <c r="B314" t="s">
        <v>1695</v>
      </c>
      <c r="C314" t="s">
        <v>424</v>
      </c>
      <c r="D314" t="s">
        <v>184</v>
      </c>
      <c r="E314" t="str">
        <f>VLOOKUP(D314,'Tên SP'!B$2:C$1070,2,0)</f>
        <v>GEL DIỆT KHUẨN TAY ON1 60ML/CH80</v>
      </c>
      <c r="F314" s="4">
        <v>24000</v>
      </c>
      <c r="G314">
        <v>1</v>
      </c>
      <c r="H314" s="4">
        <v>24000</v>
      </c>
      <c r="I314" s="4">
        <v>-24000</v>
      </c>
      <c r="J314" s="5">
        <f t="shared" si="4"/>
        <v>0</v>
      </c>
    </row>
    <row r="315" spans="1:10" x14ac:dyDescent="0.25">
      <c r="A315" s="6">
        <v>314</v>
      </c>
      <c r="B315" t="s">
        <v>1696</v>
      </c>
      <c r="C315" t="s">
        <v>425</v>
      </c>
      <c r="D315" t="s">
        <v>102</v>
      </c>
      <c r="E315" t="str">
        <f>VLOOKUP(D315,'Tên SP'!B$2:C$1070,2,0)</f>
        <v>NƯỚC GIẶT LIX HƯƠNG NƯỚC HOA 3,5KG/T04 TÚI</v>
      </c>
      <c r="F315" s="4">
        <v>95100</v>
      </c>
      <c r="G315">
        <v>1</v>
      </c>
      <c r="H315" s="4">
        <v>95100</v>
      </c>
      <c r="I315" s="4">
        <v>-5338</v>
      </c>
      <c r="J315" s="5">
        <f t="shared" si="4"/>
        <v>89762</v>
      </c>
    </row>
    <row r="316" spans="1:10" x14ac:dyDescent="0.25">
      <c r="A316" s="6">
        <v>315</v>
      </c>
      <c r="B316" t="s">
        <v>1696</v>
      </c>
      <c r="C316" t="s">
        <v>425</v>
      </c>
      <c r="D316" t="s">
        <v>102</v>
      </c>
      <c r="E316" t="str">
        <f>VLOOKUP(D316,'Tên SP'!B$2:C$1070,2,0)</f>
        <v>NƯỚC GIẶT LIX HƯƠNG NƯỚC HOA 3,5KG/T04 TÚI</v>
      </c>
      <c r="F316" s="4">
        <v>95100</v>
      </c>
      <c r="G316">
        <v>1</v>
      </c>
      <c r="H316" s="4">
        <v>95100</v>
      </c>
      <c r="I316" s="4">
        <v>-5337</v>
      </c>
      <c r="J316" s="5">
        <f t="shared" si="4"/>
        <v>89763</v>
      </c>
    </row>
    <row r="317" spans="1:10" x14ac:dyDescent="0.25">
      <c r="A317" s="6">
        <v>316</v>
      </c>
      <c r="B317" t="s">
        <v>1696</v>
      </c>
      <c r="C317" t="s">
        <v>425</v>
      </c>
      <c r="D317" t="s">
        <v>102</v>
      </c>
      <c r="E317" t="str">
        <f>VLOOKUP(D317,'Tên SP'!B$2:C$1070,2,0)</f>
        <v>NƯỚC GIẶT LIX HƯƠNG NƯỚC HOA 3,5KG/T04 TÚI</v>
      </c>
      <c r="F317" s="4">
        <v>95100</v>
      </c>
      <c r="G317">
        <v>1</v>
      </c>
      <c r="H317" s="4">
        <v>95100</v>
      </c>
      <c r="I317" s="4">
        <v>-5338</v>
      </c>
      <c r="J317" s="5">
        <f t="shared" si="4"/>
        <v>89762</v>
      </c>
    </row>
    <row r="318" spans="1:10" x14ac:dyDescent="0.25">
      <c r="A318" s="6">
        <v>317</v>
      </c>
      <c r="B318" t="s">
        <v>1696</v>
      </c>
      <c r="C318" t="s">
        <v>425</v>
      </c>
      <c r="D318" t="s">
        <v>102</v>
      </c>
      <c r="E318" t="str">
        <f>VLOOKUP(D318,'Tên SP'!B$2:C$1070,2,0)</f>
        <v>NƯỚC GIẶT LIX HƯƠNG NƯỚC HOA 3,5KG/T04 TÚI</v>
      </c>
      <c r="F318" s="4">
        <v>95100</v>
      </c>
      <c r="G318">
        <v>1</v>
      </c>
      <c r="H318" s="4">
        <v>95100</v>
      </c>
      <c r="I318" s="4">
        <v>-5337</v>
      </c>
      <c r="J318" s="5">
        <f t="shared" si="4"/>
        <v>89763</v>
      </c>
    </row>
    <row r="319" spans="1:10" x14ac:dyDescent="0.25">
      <c r="A319" s="6">
        <v>318</v>
      </c>
      <c r="B319" t="s">
        <v>1697</v>
      </c>
      <c r="C319" t="s">
        <v>426</v>
      </c>
      <c r="D319" t="s">
        <v>23</v>
      </c>
      <c r="E319" t="str">
        <f>VLOOKUP(D319,'Tên SP'!B$2:C$1070,2,0)</f>
        <v>NƯỚC XẢ VẢI LIXSOFT 3,6L/C04</v>
      </c>
      <c r="F319" s="4">
        <v>89000</v>
      </c>
      <c r="G319">
        <v>1</v>
      </c>
      <c r="H319" s="4">
        <v>89000</v>
      </c>
      <c r="I319" s="4">
        <v>-5779</v>
      </c>
      <c r="J319" s="5">
        <f t="shared" si="4"/>
        <v>83221</v>
      </c>
    </row>
    <row r="320" spans="1:10" x14ac:dyDescent="0.25">
      <c r="A320" s="6">
        <v>319</v>
      </c>
      <c r="B320" t="s">
        <v>1697</v>
      </c>
      <c r="C320" t="s">
        <v>426</v>
      </c>
      <c r="D320" t="s">
        <v>28</v>
      </c>
      <c r="E320" t="str">
        <f>VLOOKUP(D320,'Tên SP'!B$2:C$1070,2,0)</f>
        <v>NƯỚC XẢ VẢI LIXSOFT HƯƠNG HOA HỒNG 3,6L/C04</v>
      </c>
      <c r="F320" s="4">
        <v>79000</v>
      </c>
      <c r="G320">
        <v>1</v>
      </c>
      <c r="H320" s="4">
        <v>79000</v>
      </c>
      <c r="I320" s="4">
        <v>-5130</v>
      </c>
      <c r="J320" s="5">
        <f t="shared" si="4"/>
        <v>73870</v>
      </c>
    </row>
    <row r="321" spans="1:10" x14ac:dyDescent="0.25">
      <c r="A321" s="6">
        <v>320</v>
      </c>
      <c r="B321" t="s">
        <v>1697</v>
      </c>
      <c r="C321" t="s">
        <v>426</v>
      </c>
      <c r="D321" t="s">
        <v>44</v>
      </c>
      <c r="E321" t="str">
        <f>VLOOKUP(D321,'Tên SP'!B$2:C$1070,2,0)</f>
        <v>BỘT GIẶT LIXE CHANH 5,5KG/03</v>
      </c>
      <c r="F321" s="4">
        <v>140000</v>
      </c>
      <c r="G321">
        <v>1</v>
      </c>
      <c r="H321" s="4">
        <v>140000</v>
      </c>
      <c r="I321" s="4">
        <v>-9441</v>
      </c>
      <c r="J321" s="5">
        <f t="shared" si="4"/>
        <v>130559</v>
      </c>
    </row>
    <row r="322" spans="1:10" x14ac:dyDescent="0.25">
      <c r="A322" s="6">
        <v>321</v>
      </c>
      <c r="B322" t="s">
        <v>1698</v>
      </c>
      <c r="C322" t="s">
        <v>427</v>
      </c>
      <c r="D322" t="s">
        <v>102</v>
      </c>
      <c r="E322" t="str">
        <f>VLOOKUP(D322,'Tên SP'!B$2:C$1070,2,0)</f>
        <v>NƯỚC GIẶT LIX HƯƠNG NƯỚC HOA 3,5KG/T04 TÚI</v>
      </c>
      <c r="F322" s="4">
        <v>95100</v>
      </c>
      <c r="G322">
        <v>1</v>
      </c>
      <c r="H322" s="4">
        <v>95100</v>
      </c>
      <c r="I322" s="4">
        <v>0</v>
      </c>
      <c r="J322" s="5">
        <f t="shared" si="4"/>
        <v>95100</v>
      </c>
    </row>
    <row r="323" spans="1:10" x14ac:dyDescent="0.25">
      <c r="A323" s="6">
        <v>322</v>
      </c>
      <c r="B323" t="s">
        <v>1699</v>
      </c>
      <c r="C323" t="s">
        <v>428</v>
      </c>
      <c r="D323" t="s">
        <v>102</v>
      </c>
      <c r="E323" t="str">
        <f>VLOOKUP(D323,'Tên SP'!B$2:C$1070,2,0)</f>
        <v>NƯỚC GIẶT LIX HƯƠNG NƯỚC HOA 3,5KG/T04 TÚI</v>
      </c>
      <c r="F323" s="4">
        <v>95100</v>
      </c>
      <c r="G323">
        <v>1</v>
      </c>
      <c r="H323" s="4">
        <v>95100</v>
      </c>
      <c r="I323" s="4">
        <v>-10400</v>
      </c>
      <c r="J323" s="5">
        <f t="shared" ref="J323:J386" si="5">H323+I323</f>
        <v>84700</v>
      </c>
    </row>
    <row r="324" spans="1:10" x14ac:dyDescent="0.25">
      <c r="A324" s="6">
        <v>323</v>
      </c>
      <c r="B324" t="s">
        <v>1700</v>
      </c>
      <c r="C324" t="s">
        <v>429</v>
      </c>
      <c r="D324" t="s">
        <v>28</v>
      </c>
      <c r="E324" t="str">
        <f>VLOOKUP(D324,'Tên SP'!B$2:C$1070,2,0)</f>
        <v>NƯỚC XẢ VẢI LIXSOFT HƯƠNG HOA HỒNG 3,6L/C04</v>
      </c>
      <c r="F324" s="4">
        <v>79000</v>
      </c>
      <c r="G324">
        <v>1</v>
      </c>
      <c r="H324" s="4">
        <v>79000</v>
      </c>
      <c r="I324" s="4">
        <v>-11580</v>
      </c>
      <c r="J324" s="5">
        <f t="shared" si="5"/>
        <v>67420</v>
      </c>
    </row>
    <row r="325" spans="1:10" x14ac:dyDescent="0.25">
      <c r="A325" s="6">
        <v>324</v>
      </c>
      <c r="B325" t="s">
        <v>1701</v>
      </c>
      <c r="C325" t="s">
        <v>430</v>
      </c>
      <c r="D325" t="s">
        <v>126</v>
      </c>
      <c r="E325" t="str">
        <f>VLOOKUP(D325,'Tên SP'!B$2:C$1070,2,0)</f>
        <v>NƯỚC RỬA CHÉN ON1 CHANH SẢ 1,5KG/C08</v>
      </c>
      <c r="F325" s="4">
        <v>43800</v>
      </c>
      <c r="G325">
        <v>1</v>
      </c>
      <c r="H325" s="4">
        <v>43800</v>
      </c>
      <c r="I325" s="4">
        <v>-7446</v>
      </c>
      <c r="J325" s="5">
        <f t="shared" si="5"/>
        <v>36354</v>
      </c>
    </row>
    <row r="326" spans="1:10" x14ac:dyDescent="0.25">
      <c r="A326" s="6">
        <v>325</v>
      </c>
      <c r="B326" t="s">
        <v>1702</v>
      </c>
      <c r="C326" t="s">
        <v>431</v>
      </c>
      <c r="D326" t="s">
        <v>54</v>
      </c>
      <c r="E326" t="str">
        <f>VLOOKUP(D326,'Tên SP'!B$2:C$1070,2,0)</f>
        <v>BỘT GIẶT LIX ĐẬM ĐẶC 800G/12</v>
      </c>
      <c r="F326" s="4">
        <v>23000</v>
      </c>
      <c r="G326">
        <v>1</v>
      </c>
      <c r="H326" s="4">
        <v>23000</v>
      </c>
      <c r="I326" s="4">
        <v>-3650</v>
      </c>
      <c r="J326" s="5">
        <f t="shared" si="5"/>
        <v>19350</v>
      </c>
    </row>
    <row r="327" spans="1:10" x14ac:dyDescent="0.25">
      <c r="A327" s="6">
        <v>326</v>
      </c>
      <c r="B327" t="s">
        <v>1702</v>
      </c>
      <c r="C327" t="s">
        <v>431</v>
      </c>
      <c r="D327" t="s">
        <v>54</v>
      </c>
      <c r="E327" t="str">
        <f>VLOOKUP(D327,'Tên SP'!B$2:C$1070,2,0)</f>
        <v>BỘT GIẶT LIX ĐẬM ĐẶC 800G/12</v>
      </c>
      <c r="F327" s="4">
        <v>23000</v>
      </c>
      <c r="G327">
        <v>1</v>
      </c>
      <c r="H327" s="4">
        <v>23000</v>
      </c>
      <c r="I327" s="4">
        <v>-3650</v>
      </c>
      <c r="J327" s="5">
        <f t="shared" si="5"/>
        <v>19350</v>
      </c>
    </row>
    <row r="328" spans="1:10" x14ac:dyDescent="0.25">
      <c r="A328" s="6">
        <v>327</v>
      </c>
      <c r="B328" t="s">
        <v>1702</v>
      </c>
      <c r="C328" t="s">
        <v>431</v>
      </c>
      <c r="D328" t="s">
        <v>54</v>
      </c>
      <c r="E328" t="str">
        <f>VLOOKUP(D328,'Tên SP'!B$2:C$1070,2,0)</f>
        <v>BỘT GIẶT LIX ĐẬM ĐẶC 800G/12</v>
      </c>
      <c r="F328" s="4">
        <v>23000</v>
      </c>
      <c r="G328">
        <v>1</v>
      </c>
      <c r="H328" s="4">
        <v>23000</v>
      </c>
      <c r="I328" s="4">
        <v>-3650</v>
      </c>
      <c r="J328" s="5">
        <f t="shared" si="5"/>
        <v>19350</v>
      </c>
    </row>
    <row r="329" spans="1:10" x14ac:dyDescent="0.25">
      <c r="A329" s="6">
        <v>328</v>
      </c>
      <c r="B329" t="s">
        <v>1703</v>
      </c>
      <c r="C329" t="s">
        <v>432</v>
      </c>
      <c r="D329" t="s">
        <v>9</v>
      </c>
      <c r="E329" t="str">
        <f>VLOOKUP(D329,'Tên SP'!B$2:C$1070,2,0)</f>
        <v>NƯỚC GIẶT LIX ĐẬM ĐẶC 3,5KG/T04 TÚI</v>
      </c>
      <c r="F329" s="4">
        <v>95100</v>
      </c>
      <c r="G329">
        <v>1</v>
      </c>
      <c r="H329" s="4">
        <v>95100</v>
      </c>
      <c r="I329" s="4">
        <v>-11902</v>
      </c>
      <c r="J329" s="5">
        <f t="shared" si="5"/>
        <v>83198</v>
      </c>
    </row>
    <row r="330" spans="1:10" x14ac:dyDescent="0.25">
      <c r="A330" s="6">
        <v>329</v>
      </c>
      <c r="B330" t="s">
        <v>1704</v>
      </c>
      <c r="C330" t="s">
        <v>433</v>
      </c>
      <c r="D330" t="s">
        <v>28</v>
      </c>
      <c r="E330" t="str">
        <f>VLOOKUP(D330,'Tên SP'!B$2:C$1070,2,0)</f>
        <v>NƯỚC XẢ VẢI LIXSOFT HƯƠNG HOA HỒNG 3,6L/C04</v>
      </c>
      <c r="F330" s="4">
        <v>79000</v>
      </c>
      <c r="G330">
        <v>1</v>
      </c>
      <c r="H330" s="4">
        <v>79000</v>
      </c>
      <c r="I330" s="4">
        <v>-11580</v>
      </c>
      <c r="J330" s="5">
        <f t="shared" si="5"/>
        <v>67420</v>
      </c>
    </row>
    <row r="331" spans="1:10" x14ac:dyDescent="0.25">
      <c r="A331" s="6">
        <v>330</v>
      </c>
      <c r="B331" t="s">
        <v>1705</v>
      </c>
      <c r="C331" t="s">
        <v>434</v>
      </c>
      <c r="D331" t="s">
        <v>104</v>
      </c>
      <c r="E331" t="str">
        <f>VLOOKUP(D331,'Tên SP'!B$2:C$1070,2,0)</f>
        <v>NƯỚC GIẶT LIX ĐẬM ĐẶC 2KG/C06</v>
      </c>
      <c r="F331" s="4">
        <v>66000</v>
      </c>
      <c r="G331">
        <v>1</v>
      </c>
      <c r="H331" s="4">
        <v>66000</v>
      </c>
      <c r="I331" s="4">
        <v>-1320</v>
      </c>
      <c r="J331" s="5">
        <f t="shared" si="5"/>
        <v>64680</v>
      </c>
    </row>
    <row r="332" spans="1:10" x14ac:dyDescent="0.25">
      <c r="A332" s="6">
        <v>331</v>
      </c>
      <c r="B332" t="s">
        <v>1706</v>
      </c>
      <c r="C332" t="s">
        <v>435</v>
      </c>
      <c r="D332" t="s">
        <v>28</v>
      </c>
      <c r="E332" t="str">
        <f>VLOOKUP(D332,'Tên SP'!B$2:C$1070,2,0)</f>
        <v>NƯỚC XẢ VẢI LIXSOFT HƯƠNG HOA HỒNG 3,6L/C04</v>
      </c>
      <c r="F332" s="4">
        <v>79000</v>
      </c>
      <c r="G332">
        <v>1</v>
      </c>
      <c r="H332" s="4">
        <v>79000</v>
      </c>
      <c r="I332" s="4">
        <v>-11580</v>
      </c>
      <c r="J332" s="5">
        <f t="shared" si="5"/>
        <v>67420</v>
      </c>
    </row>
    <row r="333" spans="1:10" x14ac:dyDescent="0.25">
      <c r="A333" s="6">
        <v>332</v>
      </c>
      <c r="B333" t="s">
        <v>1707</v>
      </c>
      <c r="C333" t="s">
        <v>436</v>
      </c>
      <c r="D333" t="s">
        <v>106</v>
      </c>
      <c r="E333" t="str">
        <f>VLOOKUP(D333,'Tên SP'!B$2:C$1070,2,0)</f>
        <v>NƯỚC GIẶT LIX SIÊU SẠCH HOA ANH ĐÀO 2.4KG/T06</v>
      </c>
      <c r="F333" s="4">
        <v>65400</v>
      </c>
      <c r="G333">
        <v>1</v>
      </c>
      <c r="H333" s="4">
        <v>65400</v>
      </c>
      <c r="I333" s="4">
        <v>-10551</v>
      </c>
      <c r="J333" s="5">
        <f t="shared" si="5"/>
        <v>54849</v>
      </c>
    </row>
    <row r="334" spans="1:10" x14ac:dyDescent="0.25">
      <c r="A334" s="6">
        <v>333</v>
      </c>
      <c r="B334" t="s">
        <v>1708</v>
      </c>
      <c r="C334" t="s">
        <v>437</v>
      </c>
      <c r="D334" t="s">
        <v>28</v>
      </c>
      <c r="E334" t="str">
        <f>VLOOKUP(D334,'Tên SP'!B$2:C$1070,2,0)</f>
        <v>NƯỚC XẢ VẢI LIXSOFT HƯƠNG HOA HỒNG 3,6L/C04</v>
      </c>
      <c r="F334" s="4">
        <v>79000</v>
      </c>
      <c r="G334">
        <v>1</v>
      </c>
      <c r="H334" s="4">
        <v>79000</v>
      </c>
      <c r="I334" s="4">
        <v>-250</v>
      </c>
      <c r="J334" s="5">
        <f t="shared" si="5"/>
        <v>78750</v>
      </c>
    </row>
    <row r="335" spans="1:10" x14ac:dyDescent="0.25">
      <c r="A335" s="6">
        <v>334</v>
      </c>
      <c r="B335" t="s">
        <v>1709</v>
      </c>
      <c r="C335" t="s">
        <v>438</v>
      </c>
      <c r="D335" t="s">
        <v>28</v>
      </c>
      <c r="E335" t="str">
        <f>VLOOKUP(D335,'Tên SP'!B$2:C$1070,2,0)</f>
        <v>NƯỚC XẢ VẢI LIXSOFT HƯƠNG HOA HỒNG 3,6L/C04</v>
      </c>
      <c r="F335" s="4">
        <v>79000</v>
      </c>
      <c r="G335">
        <v>1</v>
      </c>
      <c r="H335" s="4">
        <v>79000</v>
      </c>
      <c r="I335" s="4">
        <v>-1580</v>
      </c>
      <c r="J335" s="5">
        <f t="shared" si="5"/>
        <v>77420</v>
      </c>
    </row>
    <row r="336" spans="1:10" x14ac:dyDescent="0.25">
      <c r="A336" s="6">
        <v>335</v>
      </c>
      <c r="B336" t="s">
        <v>1710</v>
      </c>
      <c r="C336" t="s">
        <v>439</v>
      </c>
      <c r="D336" t="s">
        <v>102</v>
      </c>
      <c r="E336" t="str">
        <f>VLOOKUP(D336,'Tên SP'!B$2:C$1070,2,0)</f>
        <v>NƯỚC GIẶT LIX HƯƠNG NƯỚC HOA 3,5KG/T04 TÚI</v>
      </c>
      <c r="F336" s="4">
        <v>95100</v>
      </c>
      <c r="G336">
        <v>1</v>
      </c>
      <c r="H336" s="4">
        <v>95100</v>
      </c>
      <c r="I336" s="4">
        <v>-5194</v>
      </c>
      <c r="J336" s="5">
        <f t="shared" si="5"/>
        <v>89906</v>
      </c>
    </row>
    <row r="337" spans="1:10" x14ac:dyDescent="0.25">
      <c r="A337" s="6">
        <v>336</v>
      </c>
      <c r="B337" t="s">
        <v>1710</v>
      </c>
      <c r="C337" t="s">
        <v>439</v>
      </c>
      <c r="D337" t="s">
        <v>9</v>
      </c>
      <c r="E337" t="str">
        <f>VLOOKUP(D337,'Tên SP'!B$2:C$1070,2,0)</f>
        <v>NƯỚC GIẶT LIX ĐẬM ĐẶC 3,5KG/T04 TÚI</v>
      </c>
      <c r="F337" s="4">
        <v>88000</v>
      </c>
      <c r="G337">
        <v>1</v>
      </c>
      <c r="H337" s="4">
        <v>88000</v>
      </c>
      <c r="I337" s="4">
        <v>-4806</v>
      </c>
      <c r="J337" s="5">
        <f t="shared" si="5"/>
        <v>83194</v>
      </c>
    </row>
    <row r="338" spans="1:10" x14ac:dyDescent="0.25">
      <c r="A338" s="6">
        <v>337</v>
      </c>
      <c r="B338" t="s">
        <v>1711</v>
      </c>
      <c r="C338" t="s">
        <v>440</v>
      </c>
      <c r="D338" t="s">
        <v>9</v>
      </c>
      <c r="E338" t="str">
        <f>VLOOKUP(D338,'Tên SP'!B$2:C$1070,2,0)</f>
        <v>NƯỚC GIẶT LIX ĐẬM ĐẶC 3,5KG/T04 TÚI</v>
      </c>
      <c r="F338" s="4">
        <v>88000</v>
      </c>
      <c r="G338">
        <v>1</v>
      </c>
      <c r="H338" s="4">
        <v>88000</v>
      </c>
      <c r="I338" s="4">
        <v>-200</v>
      </c>
      <c r="J338" s="5">
        <f t="shared" si="5"/>
        <v>87800</v>
      </c>
    </row>
    <row r="339" spans="1:10" x14ac:dyDescent="0.25">
      <c r="A339" s="6">
        <v>338</v>
      </c>
      <c r="B339" t="s">
        <v>1712</v>
      </c>
      <c r="C339" t="s">
        <v>441</v>
      </c>
      <c r="D339" t="s">
        <v>9</v>
      </c>
      <c r="E339" t="str">
        <f>VLOOKUP(D339,'Tên SP'!B$2:C$1070,2,0)</f>
        <v>NƯỚC GIẶT LIX ĐẬM ĐẶC 3,5KG/T04 TÚI</v>
      </c>
      <c r="F339" s="4">
        <v>88000</v>
      </c>
      <c r="G339">
        <v>1</v>
      </c>
      <c r="H339" s="4">
        <v>88000</v>
      </c>
      <c r="I339" s="4">
        <v>0</v>
      </c>
      <c r="J339" s="5">
        <f t="shared" si="5"/>
        <v>88000</v>
      </c>
    </row>
    <row r="340" spans="1:10" x14ac:dyDescent="0.25">
      <c r="A340" s="6">
        <v>339</v>
      </c>
      <c r="B340" t="s">
        <v>1713</v>
      </c>
      <c r="C340" t="s">
        <v>442</v>
      </c>
      <c r="D340" t="s">
        <v>23</v>
      </c>
      <c r="E340" t="str">
        <f>VLOOKUP(D340,'Tên SP'!B$2:C$1070,2,0)</f>
        <v>NƯỚC XẢ VẢI LIXSOFT 3,6L/C04</v>
      </c>
      <c r="F340" s="4">
        <v>79000</v>
      </c>
      <c r="G340">
        <v>1</v>
      </c>
      <c r="H340" s="4">
        <v>79000</v>
      </c>
      <c r="I340" s="4">
        <v>0</v>
      </c>
      <c r="J340" s="5">
        <f t="shared" si="5"/>
        <v>79000</v>
      </c>
    </row>
    <row r="341" spans="1:10" x14ac:dyDescent="0.25">
      <c r="A341" s="6">
        <v>340</v>
      </c>
      <c r="B341" t="s">
        <v>1714</v>
      </c>
      <c r="C341" t="s">
        <v>443</v>
      </c>
      <c r="D341" t="s">
        <v>23</v>
      </c>
      <c r="E341" t="str">
        <f>VLOOKUP(D341,'Tên SP'!B$2:C$1070,2,0)</f>
        <v>NƯỚC XẢ VẢI LIXSOFT 3,6L/C04</v>
      </c>
      <c r="F341" s="4">
        <v>79000</v>
      </c>
      <c r="G341">
        <v>1</v>
      </c>
      <c r="H341" s="4">
        <v>79000</v>
      </c>
      <c r="I341" s="4">
        <v>0</v>
      </c>
      <c r="J341" s="5">
        <f t="shared" si="5"/>
        <v>79000</v>
      </c>
    </row>
    <row r="342" spans="1:10" x14ac:dyDescent="0.25">
      <c r="A342" s="6">
        <v>341</v>
      </c>
      <c r="B342" t="s">
        <v>1715</v>
      </c>
      <c r="C342" t="s">
        <v>444</v>
      </c>
      <c r="D342" t="s">
        <v>28</v>
      </c>
      <c r="E342" t="str">
        <f>VLOOKUP(D342,'Tên SP'!B$2:C$1070,2,0)</f>
        <v>NƯỚC XẢ VẢI LIXSOFT HƯƠNG HOA HỒNG 3,6L/C04</v>
      </c>
      <c r="F342" s="4">
        <v>79000</v>
      </c>
      <c r="G342">
        <v>1</v>
      </c>
      <c r="H342" s="4">
        <v>79000</v>
      </c>
      <c r="I342" s="4">
        <v>-450</v>
      </c>
      <c r="J342" s="5">
        <f t="shared" si="5"/>
        <v>78550</v>
      </c>
    </row>
    <row r="343" spans="1:10" x14ac:dyDescent="0.25">
      <c r="A343" s="6">
        <v>342</v>
      </c>
      <c r="B343" t="s">
        <v>1716</v>
      </c>
      <c r="C343" t="s">
        <v>445</v>
      </c>
      <c r="D343" t="s">
        <v>9</v>
      </c>
      <c r="E343" t="str">
        <f>VLOOKUP(D343,'Tên SP'!B$2:C$1070,2,0)</f>
        <v>NƯỚC GIẶT LIX ĐẬM ĐẶC 3,5KG/T04 TÚI</v>
      </c>
      <c r="F343" s="4">
        <v>88000</v>
      </c>
      <c r="G343">
        <v>1</v>
      </c>
      <c r="H343" s="4">
        <v>88000</v>
      </c>
      <c r="I343" s="4">
        <v>-500</v>
      </c>
      <c r="J343" s="5">
        <f t="shared" si="5"/>
        <v>87500</v>
      </c>
    </row>
    <row r="344" spans="1:10" x14ac:dyDescent="0.25">
      <c r="A344" s="6">
        <v>343</v>
      </c>
      <c r="B344" t="s">
        <v>1717</v>
      </c>
      <c r="C344" t="s">
        <v>446</v>
      </c>
      <c r="D344" t="s">
        <v>9</v>
      </c>
      <c r="E344" t="str">
        <f>VLOOKUP(D344,'Tên SP'!B$2:C$1070,2,0)</f>
        <v>NƯỚC GIẶT LIX ĐẬM ĐẶC 3,5KG/T04 TÚI</v>
      </c>
      <c r="F344" s="4">
        <v>88000</v>
      </c>
      <c r="G344">
        <v>1</v>
      </c>
      <c r="H344" s="4">
        <v>88000</v>
      </c>
      <c r="I344" s="4">
        <v>-10400</v>
      </c>
      <c r="J344" s="5">
        <f t="shared" si="5"/>
        <v>77600</v>
      </c>
    </row>
    <row r="345" spans="1:10" x14ac:dyDescent="0.25">
      <c r="A345" s="6">
        <v>344</v>
      </c>
      <c r="B345" t="s">
        <v>1718</v>
      </c>
      <c r="C345" t="s">
        <v>447</v>
      </c>
      <c r="D345" t="s">
        <v>166</v>
      </c>
      <c r="E345" t="str">
        <f>VLOOKUP(D345,'Tên SP'!B$2:C$1070,2,0)</f>
        <v xml:space="preserve">NƯỚC TẨY QUẦN ÁO MÀU ON1 PURPLE FRESHNES 800G/CH12 </v>
      </c>
      <c r="F345" s="4">
        <v>43000</v>
      </c>
      <c r="G345">
        <v>1</v>
      </c>
      <c r="H345" s="4">
        <v>43000</v>
      </c>
      <c r="I345" s="4">
        <v>-700</v>
      </c>
      <c r="J345" s="5">
        <f t="shared" si="5"/>
        <v>42300</v>
      </c>
    </row>
    <row r="346" spans="1:10" x14ac:dyDescent="0.25">
      <c r="A346" s="6">
        <v>345</v>
      </c>
      <c r="B346" t="s">
        <v>1719</v>
      </c>
      <c r="C346" t="s">
        <v>448</v>
      </c>
      <c r="D346" t="s">
        <v>9</v>
      </c>
      <c r="E346" t="str">
        <f>VLOOKUP(D346,'Tên SP'!B$2:C$1070,2,0)</f>
        <v>NƯỚC GIẶT LIX ĐẬM ĐẶC 3,5KG/T04 TÚI</v>
      </c>
      <c r="F346" s="4">
        <v>88000</v>
      </c>
      <c r="G346">
        <v>1</v>
      </c>
      <c r="H346" s="4">
        <v>88000</v>
      </c>
      <c r="I346" s="4">
        <v>-11760</v>
      </c>
      <c r="J346" s="5">
        <f t="shared" si="5"/>
        <v>76240</v>
      </c>
    </row>
    <row r="347" spans="1:10" x14ac:dyDescent="0.25">
      <c r="A347" s="6">
        <v>346</v>
      </c>
      <c r="B347" t="s">
        <v>1719</v>
      </c>
      <c r="C347" t="s">
        <v>449</v>
      </c>
      <c r="D347" t="s">
        <v>9</v>
      </c>
      <c r="E347" t="str">
        <f>VLOOKUP(D347,'Tên SP'!B$2:C$1070,2,0)</f>
        <v>NƯỚC GIẶT LIX ĐẬM ĐẶC 3,5KG/T04 TÚI</v>
      </c>
      <c r="F347" s="4">
        <v>88000</v>
      </c>
      <c r="G347">
        <v>1</v>
      </c>
      <c r="H347" s="4">
        <v>88000</v>
      </c>
      <c r="I347" s="4">
        <v>-10100</v>
      </c>
      <c r="J347" s="5">
        <f t="shared" si="5"/>
        <v>77900</v>
      </c>
    </row>
    <row r="348" spans="1:10" x14ac:dyDescent="0.25">
      <c r="A348" s="6">
        <v>347</v>
      </c>
      <c r="B348" t="s">
        <v>1720</v>
      </c>
      <c r="C348" t="s">
        <v>450</v>
      </c>
      <c r="D348" t="s">
        <v>9</v>
      </c>
      <c r="E348" t="str">
        <f>VLOOKUP(D348,'Tên SP'!B$2:C$1070,2,0)</f>
        <v>NƯỚC GIẶT LIX ĐẬM ĐẶC 3,5KG/T04 TÚI</v>
      </c>
      <c r="F348" s="4">
        <v>88000</v>
      </c>
      <c r="G348">
        <v>1</v>
      </c>
      <c r="H348" s="4">
        <v>88000</v>
      </c>
      <c r="I348" s="4">
        <v>-400</v>
      </c>
      <c r="J348" s="5">
        <f t="shared" si="5"/>
        <v>87600</v>
      </c>
    </row>
    <row r="349" spans="1:10" x14ac:dyDescent="0.25">
      <c r="A349" s="6">
        <v>348</v>
      </c>
      <c r="B349" t="s">
        <v>1721</v>
      </c>
      <c r="C349" t="s">
        <v>451</v>
      </c>
      <c r="D349" t="s">
        <v>102</v>
      </c>
      <c r="E349" t="str">
        <f>VLOOKUP(D349,'Tên SP'!B$2:C$1070,2,0)</f>
        <v>NƯỚC GIẶT LIX HƯƠNG NƯỚC HOA 3,5KG/T04 TÚI</v>
      </c>
      <c r="F349" s="4">
        <v>95100</v>
      </c>
      <c r="G349">
        <v>1</v>
      </c>
      <c r="H349" s="4">
        <v>95100</v>
      </c>
      <c r="I349" s="4">
        <v>-11100</v>
      </c>
      <c r="J349" s="5">
        <f t="shared" si="5"/>
        <v>84000</v>
      </c>
    </row>
    <row r="350" spans="1:10" x14ac:dyDescent="0.25">
      <c r="A350" s="6">
        <v>349</v>
      </c>
      <c r="B350" t="s">
        <v>1722</v>
      </c>
      <c r="C350" t="s">
        <v>452</v>
      </c>
      <c r="D350" t="s">
        <v>23</v>
      </c>
      <c r="E350" t="str">
        <f>VLOOKUP(D350,'Tên SP'!B$2:C$1070,2,0)</f>
        <v>NƯỚC XẢ VẢI LIXSOFT 3,6L/C04</v>
      </c>
      <c r="F350" s="4">
        <v>79000</v>
      </c>
      <c r="G350">
        <v>1</v>
      </c>
      <c r="H350" s="4">
        <v>79000</v>
      </c>
      <c r="I350" s="4">
        <v>-10100</v>
      </c>
      <c r="J350" s="5">
        <f t="shared" si="5"/>
        <v>68900</v>
      </c>
    </row>
    <row r="351" spans="1:10" x14ac:dyDescent="0.25">
      <c r="A351" s="6">
        <v>350</v>
      </c>
      <c r="B351" t="s">
        <v>1723</v>
      </c>
      <c r="C351" t="s">
        <v>453</v>
      </c>
      <c r="D351" t="s">
        <v>9</v>
      </c>
      <c r="E351" t="str">
        <f>VLOOKUP(D351,'Tên SP'!B$2:C$1070,2,0)</f>
        <v>NƯỚC GIẶT LIX ĐẬM ĐẶC 3,5KG/T04 TÚI</v>
      </c>
      <c r="F351" s="4">
        <v>88000</v>
      </c>
      <c r="G351">
        <v>1</v>
      </c>
      <c r="H351" s="4">
        <v>88000</v>
      </c>
      <c r="I351" s="4">
        <v>-1760</v>
      </c>
      <c r="J351" s="5">
        <f t="shared" si="5"/>
        <v>86240</v>
      </c>
    </row>
    <row r="352" spans="1:10" x14ac:dyDescent="0.25">
      <c r="A352" s="6">
        <v>351</v>
      </c>
      <c r="B352" t="s">
        <v>1724</v>
      </c>
      <c r="C352" t="s">
        <v>454</v>
      </c>
      <c r="D352" t="s">
        <v>164</v>
      </c>
      <c r="E352" t="str">
        <f>VLOOKUP(D352,'Tên SP'!B$2:C$1070,2,0)</f>
        <v>NƯỚC GIẶT XẢ MATIC ON1 GARDEN OF FAME 3,5KG/T04 (TÚI)</v>
      </c>
      <c r="F352" s="4">
        <v>140100</v>
      </c>
      <c r="G352">
        <v>1</v>
      </c>
      <c r="H352" s="4">
        <v>140100</v>
      </c>
      <c r="I352" s="4">
        <v>-88500</v>
      </c>
      <c r="J352" s="5">
        <f t="shared" si="5"/>
        <v>51600</v>
      </c>
    </row>
    <row r="353" spans="1:10" x14ac:dyDescent="0.25">
      <c r="A353" s="6">
        <v>352</v>
      </c>
      <c r="B353" t="s">
        <v>1725</v>
      </c>
      <c r="C353" t="s">
        <v>455</v>
      </c>
      <c r="D353" t="s">
        <v>28</v>
      </c>
      <c r="E353" t="str">
        <f>VLOOKUP(D353,'Tên SP'!B$2:C$1070,2,0)</f>
        <v>NƯỚC XẢ VẢI LIXSOFT HƯƠNG HOA HỒNG 3,6L/C04</v>
      </c>
      <c r="F353" s="4">
        <v>79000</v>
      </c>
      <c r="G353">
        <v>1</v>
      </c>
      <c r="H353" s="4">
        <v>79000</v>
      </c>
      <c r="I353" s="4">
        <v>0</v>
      </c>
      <c r="J353" s="5">
        <f t="shared" si="5"/>
        <v>79000</v>
      </c>
    </row>
    <row r="354" spans="1:10" x14ac:dyDescent="0.25">
      <c r="A354" s="6">
        <v>353</v>
      </c>
      <c r="B354" t="s">
        <v>1726</v>
      </c>
      <c r="C354" t="s">
        <v>456</v>
      </c>
      <c r="D354" t="s">
        <v>23</v>
      </c>
      <c r="E354" t="str">
        <f>VLOOKUP(D354,'Tên SP'!B$2:C$1070,2,0)</f>
        <v>NƯỚC XẢ VẢI LIXSOFT 3,6L/C04</v>
      </c>
      <c r="F354" s="4">
        <v>79000</v>
      </c>
      <c r="G354">
        <v>1</v>
      </c>
      <c r="H354" s="4">
        <v>79000</v>
      </c>
      <c r="I354" s="4">
        <v>-11100</v>
      </c>
      <c r="J354" s="5">
        <f t="shared" si="5"/>
        <v>67900</v>
      </c>
    </row>
    <row r="355" spans="1:10" x14ac:dyDescent="0.25">
      <c r="A355" s="6">
        <v>354</v>
      </c>
      <c r="B355" t="s">
        <v>1727</v>
      </c>
      <c r="C355" t="s">
        <v>457</v>
      </c>
      <c r="D355" t="s">
        <v>9</v>
      </c>
      <c r="E355" t="str">
        <f>VLOOKUP(D355,'Tên SP'!B$2:C$1070,2,0)</f>
        <v>NƯỚC GIẶT LIX ĐẬM ĐẶC 3,5KG/T04 TÚI</v>
      </c>
      <c r="F355" s="4">
        <v>88000</v>
      </c>
      <c r="G355">
        <v>1</v>
      </c>
      <c r="H355" s="4">
        <v>88000</v>
      </c>
      <c r="I355" s="4">
        <v>-11600</v>
      </c>
      <c r="J355" s="5">
        <f t="shared" si="5"/>
        <v>76400</v>
      </c>
    </row>
    <row r="356" spans="1:10" x14ac:dyDescent="0.25">
      <c r="A356" s="6">
        <v>355</v>
      </c>
      <c r="B356" t="s">
        <v>1728</v>
      </c>
      <c r="C356" t="s">
        <v>458</v>
      </c>
      <c r="D356" t="s">
        <v>9</v>
      </c>
      <c r="E356" t="str">
        <f>VLOOKUP(D356,'Tên SP'!B$2:C$1070,2,0)</f>
        <v>NƯỚC GIẶT LIX ĐẬM ĐẶC 3,5KG/T04 TÚI</v>
      </c>
      <c r="F356" s="4">
        <v>88000</v>
      </c>
      <c r="G356">
        <v>1</v>
      </c>
      <c r="H356" s="4">
        <v>88000</v>
      </c>
      <c r="I356" s="4">
        <v>-5000</v>
      </c>
      <c r="J356" s="5">
        <f t="shared" si="5"/>
        <v>83000</v>
      </c>
    </row>
    <row r="357" spans="1:10" x14ac:dyDescent="0.25">
      <c r="A357" s="6">
        <v>356</v>
      </c>
      <c r="B357" t="s">
        <v>1728</v>
      </c>
      <c r="C357" t="s">
        <v>458</v>
      </c>
      <c r="D357" t="s">
        <v>9</v>
      </c>
      <c r="E357" t="str">
        <f>VLOOKUP(D357,'Tên SP'!B$2:C$1070,2,0)</f>
        <v>NƯỚC GIẶT LIX ĐẬM ĐẶC 3,5KG/T04 TÚI</v>
      </c>
      <c r="F357" s="4">
        <v>88000</v>
      </c>
      <c r="G357">
        <v>1</v>
      </c>
      <c r="H357" s="4">
        <v>88000</v>
      </c>
      <c r="I357" s="4">
        <v>-5000</v>
      </c>
      <c r="J357" s="5">
        <f t="shared" si="5"/>
        <v>83000</v>
      </c>
    </row>
    <row r="358" spans="1:10" x14ac:dyDescent="0.25">
      <c r="A358" s="6">
        <v>357</v>
      </c>
      <c r="B358" t="s">
        <v>1728</v>
      </c>
      <c r="C358" t="s">
        <v>458</v>
      </c>
      <c r="D358" t="s">
        <v>9</v>
      </c>
      <c r="E358" t="str">
        <f>VLOOKUP(D358,'Tên SP'!B$2:C$1070,2,0)</f>
        <v>NƯỚC GIẶT LIX ĐẬM ĐẶC 3,5KG/T04 TÚI</v>
      </c>
      <c r="F358" s="4">
        <v>88000</v>
      </c>
      <c r="G358">
        <v>1</v>
      </c>
      <c r="H358" s="4">
        <v>88000</v>
      </c>
      <c r="I358" s="4">
        <v>-5000</v>
      </c>
      <c r="J358" s="5">
        <f t="shared" si="5"/>
        <v>83000</v>
      </c>
    </row>
    <row r="359" spans="1:10" x14ac:dyDescent="0.25">
      <c r="A359" s="6">
        <v>358</v>
      </c>
      <c r="B359" t="s">
        <v>1728</v>
      </c>
      <c r="C359" t="s">
        <v>458</v>
      </c>
      <c r="D359" t="s">
        <v>9</v>
      </c>
      <c r="E359" t="str">
        <f>VLOOKUP(D359,'Tên SP'!B$2:C$1070,2,0)</f>
        <v>NƯỚC GIẶT LIX ĐẬM ĐẶC 3,5KG/T04 TÚI</v>
      </c>
      <c r="F359" s="4">
        <v>88000</v>
      </c>
      <c r="G359">
        <v>1</v>
      </c>
      <c r="H359" s="4">
        <v>88000</v>
      </c>
      <c r="I359" s="4">
        <v>-5000</v>
      </c>
      <c r="J359" s="5">
        <f t="shared" si="5"/>
        <v>83000</v>
      </c>
    </row>
    <row r="360" spans="1:10" x14ac:dyDescent="0.25">
      <c r="A360" s="6">
        <v>359</v>
      </c>
      <c r="B360" t="s">
        <v>1729</v>
      </c>
      <c r="C360" t="s">
        <v>459</v>
      </c>
      <c r="D360" t="s">
        <v>9</v>
      </c>
      <c r="E360" t="str">
        <f>VLOOKUP(D360,'Tên SP'!B$2:C$1070,2,0)</f>
        <v>NƯỚC GIẶT LIX ĐẬM ĐẶC 3,5KG/T04 TÚI</v>
      </c>
      <c r="F360" s="4">
        <v>88000</v>
      </c>
      <c r="G360">
        <v>1</v>
      </c>
      <c r="H360" s="4">
        <v>88000</v>
      </c>
      <c r="I360" s="4">
        <v>0</v>
      </c>
      <c r="J360" s="5">
        <f t="shared" si="5"/>
        <v>88000</v>
      </c>
    </row>
    <row r="361" spans="1:10" x14ac:dyDescent="0.25">
      <c r="A361" s="6">
        <v>360</v>
      </c>
      <c r="B361" t="s">
        <v>1730</v>
      </c>
      <c r="C361" t="s">
        <v>460</v>
      </c>
      <c r="D361" t="s">
        <v>23</v>
      </c>
      <c r="E361" t="str">
        <f>VLOOKUP(D361,'Tên SP'!B$2:C$1070,2,0)</f>
        <v>NƯỚC XẢ VẢI LIXSOFT 3,6L/C04</v>
      </c>
      <c r="F361" s="4">
        <v>79000</v>
      </c>
      <c r="G361">
        <v>1</v>
      </c>
      <c r="H361" s="4">
        <v>79000</v>
      </c>
      <c r="I361" s="4">
        <v>0</v>
      </c>
      <c r="J361" s="5">
        <f t="shared" si="5"/>
        <v>79000</v>
      </c>
    </row>
    <row r="362" spans="1:10" x14ac:dyDescent="0.25">
      <c r="A362" s="6">
        <v>361</v>
      </c>
      <c r="B362" t="s">
        <v>1731</v>
      </c>
      <c r="C362" t="s">
        <v>461</v>
      </c>
      <c r="D362" t="s">
        <v>28</v>
      </c>
      <c r="E362" t="str">
        <f>VLOOKUP(D362,'Tên SP'!B$2:C$1070,2,0)</f>
        <v>NƯỚC XẢ VẢI LIXSOFT HƯƠNG HOA HỒNG 3,6L/C04</v>
      </c>
      <c r="F362" s="4">
        <v>79000</v>
      </c>
      <c r="G362">
        <v>1</v>
      </c>
      <c r="H362" s="4">
        <v>79000</v>
      </c>
      <c r="I362" s="4">
        <v>0</v>
      </c>
      <c r="J362" s="5">
        <f t="shared" si="5"/>
        <v>79000</v>
      </c>
    </row>
    <row r="363" spans="1:10" x14ac:dyDescent="0.25">
      <c r="A363" s="6">
        <v>362</v>
      </c>
      <c r="B363" t="s">
        <v>1732</v>
      </c>
      <c r="C363" t="s">
        <v>462</v>
      </c>
      <c r="D363" t="s">
        <v>104</v>
      </c>
      <c r="E363" t="str">
        <f>VLOOKUP(D363,'Tên SP'!B$2:C$1070,2,0)</f>
        <v>NƯỚC GIẶT LIX ĐẬM ĐẶC 2KG/C06</v>
      </c>
      <c r="F363" s="4">
        <v>60720</v>
      </c>
      <c r="G363">
        <v>1</v>
      </c>
      <c r="H363" s="4">
        <v>60720</v>
      </c>
      <c r="I363" s="4">
        <v>0</v>
      </c>
      <c r="J363" s="5">
        <f t="shared" si="5"/>
        <v>60720</v>
      </c>
    </row>
    <row r="364" spans="1:10" x14ac:dyDescent="0.25">
      <c r="A364" s="6">
        <v>363</v>
      </c>
      <c r="B364" t="s">
        <v>1733</v>
      </c>
      <c r="C364" t="s">
        <v>463</v>
      </c>
      <c r="D364" t="s">
        <v>9</v>
      </c>
      <c r="E364" t="str">
        <f>VLOOKUP(D364,'Tên SP'!B$2:C$1070,2,0)</f>
        <v>NƯỚC GIẶT LIX ĐẬM ĐẶC 3,5KG/T04 TÚI</v>
      </c>
      <c r="F364" s="4">
        <v>88000</v>
      </c>
      <c r="G364">
        <v>1</v>
      </c>
      <c r="H364" s="4">
        <v>88000</v>
      </c>
      <c r="I364" s="4">
        <v>-4000</v>
      </c>
      <c r="J364" s="5">
        <f t="shared" si="5"/>
        <v>84000</v>
      </c>
    </row>
    <row r="365" spans="1:10" x14ac:dyDescent="0.25">
      <c r="A365" s="6">
        <v>364</v>
      </c>
      <c r="B365" t="s">
        <v>1733</v>
      </c>
      <c r="C365" t="s">
        <v>463</v>
      </c>
      <c r="D365" t="s">
        <v>9</v>
      </c>
      <c r="E365" t="str">
        <f>VLOOKUP(D365,'Tên SP'!B$2:C$1070,2,0)</f>
        <v>NƯỚC GIẶT LIX ĐẬM ĐẶC 3,5KG/T04 TÚI</v>
      </c>
      <c r="F365" s="4">
        <v>88000</v>
      </c>
      <c r="G365">
        <v>1</v>
      </c>
      <c r="H365" s="4">
        <v>88000</v>
      </c>
      <c r="I365" s="4">
        <v>-4000</v>
      </c>
      <c r="J365" s="5">
        <f t="shared" si="5"/>
        <v>84000</v>
      </c>
    </row>
    <row r="366" spans="1:10" x14ac:dyDescent="0.25">
      <c r="A366" s="6">
        <v>365</v>
      </c>
      <c r="B366" t="s">
        <v>1734</v>
      </c>
      <c r="C366" t="s">
        <v>464</v>
      </c>
      <c r="D366" t="s">
        <v>102</v>
      </c>
      <c r="E366" t="str">
        <f>VLOOKUP(D366,'Tên SP'!B$2:C$1070,2,0)</f>
        <v>NƯỚC GIẶT LIX HƯƠNG NƯỚC HOA 3,5KG/T04 TÚI</v>
      </c>
      <c r="F366" s="4">
        <v>95100</v>
      </c>
      <c r="G366">
        <v>1</v>
      </c>
      <c r="H366" s="4">
        <v>95100</v>
      </c>
      <c r="I366" s="4">
        <v>-1902</v>
      </c>
      <c r="J366" s="5">
        <f t="shared" si="5"/>
        <v>93198</v>
      </c>
    </row>
    <row r="367" spans="1:10" x14ac:dyDescent="0.25">
      <c r="A367" s="6">
        <v>366</v>
      </c>
      <c r="B367" t="s">
        <v>1735</v>
      </c>
      <c r="C367" t="s">
        <v>465</v>
      </c>
      <c r="D367" t="s">
        <v>23</v>
      </c>
      <c r="E367" t="str">
        <f>VLOOKUP(D367,'Tên SP'!B$2:C$1070,2,0)</f>
        <v>NƯỚC XẢ VẢI LIXSOFT 3,6L/C04</v>
      </c>
      <c r="F367" s="4">
        <v>79000</v>
      </c>
      <c r="G367">
        <v>1</v>
      </c>
      <c r="H367" s="4">
        <v>79000</v>
      </c>
      <c r="I367" s="4">
        <v>-4000</v>
      </c>
      <c r="J367" s="5">
        <f t="shared" si="5"/>
        <v>75000</v>
      </c>
    </row>
    <row r="368" spans="1:10" x14ac:dyDescent="0.25">
      <c r="A368" s="6">
        <v>367</v>
      </c>
      <c r="B368" t="s">
        <v>1735</v>
      </c>
      <c r="C368" t="s">
        <v>465</v>
      </c>
      <c r="D368" t="s">
        <v>23</v>
      </c>
      <c r="E368" t="str">
        <f>VLOOKUP(D368,'Tên SP'!B$2:C$1070,2,0)</f>
        <v>NƯỚC XẢ VẢI LIXSOFT 3,6L/C04</v>
      </c>
      <c r="F368" s="4">
        <v>79000</v>
      </c>
      <c r="G368">
        <v>1</v>
      </c>
      <c r="H368" s="4">
        <v>79000</v>
      </c>
      <c r="I368" s="4">
        <v>-4000</v>
      </c>
      <c r="J368" s="5">
        <f t="shared" si="5"/>
        <v>75000</v>
      </c>
    </row>
    <row r="369" spans="1:10" x14ac:dyDescent="0.25">
      <c r="A369" s="6">
        <v>368</v>
      </c>
      <c r="B369" t="s">
        <v>1735</v>
      </c>
      <c r="C369" t="s">
        <v>465</v>
      </c>
      <c r="D369" t="s">
        <v>28</v>
      </c>
      <c r="E369" t="str">
        <f>VLOOKUP(D369,'Tên SP'!B$2:C$1070,2,0)</f>
        <v>NƯỚC XẢ VẢI LIXSOFT HƯƠNG HOA HỒNG 3,6L/C04</v>
      </c>
      <c r="F369" s="4">
        <v>79000</v>
      </c>
      <c r="G369">
        <v>1</v>
      </c>
      <c r="H369" s="4">
        <v>79000</v>
      </c>
      <c r="I369" s="4">
        <v>-4100</v>
      </c>
      <c r="J369" s="5">
        <f t="shared" si="5"/>
        <v>74900</v>
      </c>
    </row>
    <row r="370" spans="1:10" x14ac:dyDescent="0.25">
      <c r="A370" s="6">
        <v>369</v>
      </c>
      <c r="B370" t="s">
        <v>1735</v>
      </c>
      <c r="C370" t="s">
        <v>465</v>
      </c>
      <c r="D370" t="s">
        <v>28</v>
      </c>
      <c r="E370" t="str">
        <f>VLOOKUP(D370,'Tên SP'!B$2:C$1070,2,0)</f>
        <v>NƯỚC XẢ VẢI LIXSOFT HƯƠNG HOA HỒNG 3,6L/C04</v>
      </c>
      <c r="F370" s="4">
        <v>79000</v>
      </c>
      <c r="G370">
        <v>1</v>
      </c>
      <c r="H370" s="4">
        <v>79000</v>
      </c>
      <c r="I370" s="4">
        <v>-4100</v>
      </c>
      <c r="J370" s="5">
        <f t="shared" si="5"/>
        <v>74900</v>
      </c>
    </row>
    <row r="371" spans="1:10" x14ac:dyDescent="0.25">
      <c r="A371" s="6">
        <v>370</v>
      </c>
      <c r="B371" t="s">
        <v>1735</v>
      </c>
      <c r="C371" t="s">
        <v>465</v>
      </c>
      <c r="D371" t="s">
        <v>28</v>
      </c>
      <c r="E371" t="str">
        <f>VLOOKUP(D371,'Tên SP'!B$2:C$1070,2,0)</f>
        <v>NƯỚC XẢ VẢI LIXSOFT HƯƠNG HOA HỒNG 3,6L/C04</v>
      </c>
      <c r="F371" s="4">
        <v>79000</v>
      </c>
      <c r="G371">
        <v>1</v>
      </c>
      <c r="H371" s="4">
        <v>79000</v>
      </c>
      <c r="I371" s="4">
        <v>-4100</v>
      </c>
      <c r="J371" s="5">
        <f t="shared" si="5"/>
        <v>74900</v>
      </c>
    </row>
    <row r="372" spans="1:10" x14ac:dyDescent="0.25">
      <c r="A372" s="6">
        <v>371</v>
      </c>
      <c r="B372" t="s">
        <v>1736</v>
      </c>
      <c r="C372" t="s">
        <v>466</v>
      </c>
      <c r="D372" t="s">
        <v>23</v>
      </c>
      <c r="E372" t="str">
        <f>VLOOKUP(D372,'Tên SP'!B$2:C$1070,2,0)</f>
        <v>NƯỚC XẢ VẢI LIXSOFT 3,6L/C04</v>
      </c>
      <c r="F372" s="4">
        <v>79000</v>
      </c>
      <c r="G372">
        <v>1</v>
      </c>
      <c r="H372" s="4">
        <v>79000</v>
      </c>
      <c r="I372" s="4">
        <v>-1580</v>
      </c>
      <c r="J372" s="5">
        <f t="shared" si="5"/>
        <v>77420</v>
      </c>
    </row>
    <row r="373" spans="1:10" x14ac:dyDescent="0.25">
      <c r="A373" s="6">
        <v>372</v>
      </c>
      <c r="B373" t="s">
        <v>1737</v>
      </c>
      <c r="C373" t="s">
        <v>467</v>
      </c>
      <c r="D373" t="s">
        <v>28</v>
      </c>
      <c r="E373" t="str">
        <f>VLOOKUP(D373,'Tên SP'!B$2:C$1070,2,0)</f>
        <v>NƯỚC XẢ VẢI LIXSOFT HƯƠNG HOA HỒNG 3,6L/C04</v>
      </c>
      <c r="F373" s="4">
        <v>79000</v>
      </c>
      <c r="G373">
        <v>1</v>
      </c>
      <c r="H373" s="4">
        <v>79000</v>
      </c>
      <c r="I373" s="4">
        <v>-100</v>
      </c>
      <c r="J373" s="5">
        <f t="shared" si="5"/>
        <v>78900</v>
      </c>
    </row>
    <row r="374" spans="1:10" x14ac:dyDescent="0.25">
      <c r="A374" s="6">
        <v>373</v>
      </c>
      <c r="B374" t="s">
        <v>1738</v>
      </c>
      <c r="C374" t="s">
        <v>468</v>
      </c>
      <c r="D374" t="s">
        <v>85</v>
      </c>
      <c r="E374" t="str">
        <f>VLOOKUP(D374,'Tên SP'!B$2:C$1070,2,0)</f>
        <v>NƯỚC RỬA CHÉN SIÊU SẠCH TRÀ 3,6KG/C04</v>
      </c>
      <c r="F374" s="4">
        <v>72100</v>
      </c>
      <c r="G374">
        <v>1</v>
      </c>
      <c r="H374" s="4">
        <v>72100</v>
      </c>
      <c r="I374" s="4">
        <v>-10900</v>
      </c>
      <c r="J374" s="5">
        <f t="shared" si="5"/>
        <v>61200</v>
      </c>
    </row>
    <row r="375" spans="1:10" x14ac:dyDescent="0.25">
      <c r="A375" s="6">
        <v>374</v>
      </c>
      <c r="B375" t="s">
        <v>1739</v>
      </c>
      <c r="C375" t="s">
        <v>469</v>
      </c>
      <c r="D375" t="s">
        <v>9</v>
      </c>
      <c r="E375" t="str">
        <f>VLOOKUP(D375,'Tên SP'!B$2:C$1070,2,0)</f>
        <v>NƯỚC GIẶT LIX ĐẬM ĐẶC 3,5KG/T04 TÚI</v>
      </c>
      <c r="F375" s="4">
        <v>88000</v>
      </c>
      <c r="G375">
        <v>1</v>
      </c>
      <c r="H375" s="4">
        <v>88000</v>
      </c>
      <c r="I375" s="4">
        <v>-5363</v>
      </c>
      <c r="J375" s="5">
        <f t="shared" si="5"/>
        <v>82637</v>
      </c>
    </row>
    <row r="376" spans="1:10" x14ac:dyDescent="0.25">
      <c r="A376" s="6">
        <v>375</v>
      </c>
      <c r="B376" t="s">
        <v>1739</v>
      </c>
      <c r="C376" t="s">
        <v>469</v>
      </c>
      <c r="D376" t="s">
        <v>9</v>
      </c>
      <c r="E376" t="str">
        <f>VLOOKUP(D376,'Tên SP'!B$2:C$1070,2,0)</f>
        <v>NƯỚC GIẶT LIX ĐẬM ĐẶC 3,5KG/T04 TÚI</v>
      </c>
      <c r="F376" s="4">
        <v>88000</v>
      </c>
      <c r="G376">
        <v>1</v>
      </c>
      <c r="H376" s="4">
        <v>88000</v>
      </c>
      <c r="I376" s="4">
        <v>-5362</v>
      </c>
      <c r="J376" s="5">
        <f t="shared" si="5"/>
        <v>82638</v>
      </c>
    </row>
    <row r="377" spans="1:10" x14ac:dyDescent="0.25">
      <c r="A377" s="6">
        <v>376</v>
      </c>
      <c r="B377" t="s">
        <v>1739</v>
      </c>
      <c r="C377" t="s">
        <v>469</v>
      </c>
      <c r="D377" t="s">
        <v>9</v>
      </c>
      <c r="E377" t="str">
        <f>VLOOKUP(D377,'Tên SP'!B$2:C$1070,2,0)</f>
        <v>NƯỚC GIẶT LIX ĐẬM ĐẶC 3,5KG/T04 TÚI</v>
      </c>
      <c r="F377" s="4">
        <v>88000</v>
      </c>
      <c r="G377">
        <v>1</v>
      </c>
      <c r="H377" s="4">
        <v>88000</v>
      </c>
      <c r="I377" s="4">
        <v>-5363</v>
      </c>
      <c r="J377" s="5">
        <f t="shared" si="5"/>
        <v>82637</v>
      </c>
    </row>
    <row r="378" spans="1:10" x14ac:dyDescent="0.25">
      <c r="A378" s="6">
        <v>377</v>
      </c>
      <c r="B378" t="s">
        <v>1739</v>
      </c>
      <c r="C378" t="s">
        <v>469</v>
      </c>
      <c r="D378" t="s">
        <v>9</v>
      </c>
      <c r="E378" t="str">
        <f>VLOOKUP(D378,'Tên SP'!B$2:C$1070,2,0)</f>
        <v>NƯỚC GIẶT LIX ĐẬM ĐẶC 3,5KG/T04 TÚI</v>
      </c>
      <c r="F378" s="4">
        <v>88000</v>
      </c>
      <c r="G378">
        <v>1</v>
      </c>
      <c r="H378" s="4">
        <v>88000</v>
      </c>
      <c r="I378" s="4">
        <v>-5362</v>
      </c>
      <c r="J378" s="5">
        <f t="shared" si="5"/>
        <v>82638</v>
      </c>
    </row>
    <row r="379" spans="1:10" x14ac:dyDescent="0.25">
      <c r="A379" s="6">
        <v>378</v>
      </c>
      <c r="B379" t="s">
        <v>1740</v>
      </c>
      <c r="C379" t="s">
        <v>470</v>
      </c>
      <c r="D379" t="s">
        <v>9</v>
      </c>
      <c r="E379" t="str">
        <f>VLOOKUP(D379,'Tên SP'!B$2:C$1070,2,0)</f>
        <v>NƯỚC GIẶT LIX ĐẬM ĐẶC 3,5KG/T04 TÚI</v>
      </c>
      <c r="F379" s="4">
        <v>88000</v>
      </c>
      <c r="G379">
        <v>1</v>
      </c>
      <c r="H379" s="4">
        <v>88000</v>
      </c>
      <c r="I379" s="4">
        <v>-11760</v>
      </c>
      <c r="J379" s="5">
        <f t="shared" si="5"/>
        <v>76240</v>
      </c>
    </row>
    <row r="380" spans="1:10" x14ac:dyDescent="0.25">
      <c r="A380" s="6">
        <v>379</v>
      </c>
      <c r="B380" t="s">
        <v>1741</v>
      </c>
      <c r="C380" t="s">
        <v>471</v>
      </c>
      <c r="D380" t="s">
        <v>28</v>
      </c>
      <c r="E380" t="str">
        <f>VLOOKUP(D380,'Tên SP'!B$2:C$1070,2,0)</f>
        <v>NƯỚC XẢ VẢI LIXSOFT HƯƠNG HOA HỒNG 3,6L/C04</v>
      </c>
      <c r="F380" s="4">
        <v>79000</v>
      </c>
      <c r="G380">
        <v>1</v>
      </c>
      <c r="H380" s="4">
        <v>79000</v>
      </c>
      <c r="I380" s="4">
        <v>-100</v>
      </c>
      <c r="J380" s="5">
        <f t="shared" si="5"/>
        <v>78900</v>
      </c>
    </row>
    <row r="381" spans="1:10" x14ac:dyDescent="0.25">
      <c r="A381" s="6">
        <v>380</v>
      </c>
      <c r="B381" t="s">
        <v>1742</v>
      </c>
      <c r="C381" t="s">
        <v>472</v>
      </c>
      <c r="D381" t="s">
        <v>9</v>
      </c>
      <c r="E381" t="str">
        <f>VLOOKUP(D381,'Tên SP'!B$2:C$1070,2,0)</f>
        <v>NƯỚC GIẶT LIX ĐẬM ĐẶC 3,5KG/T04 TÚI</v>
      </c>
      <c r="F381" s="4">
        <v>88000</v>
      </c>
      <c r="G381">
        <v>1</v>
      </c>
      <c r="H381" s="4">
        <v>88000</v>
      </c>
      <c r="I381" s="4">
        <v>0</v>
      </c>
      <c r="J381" s="5">
        <f t="shared" si="5"/>
        <v>88000</v>
      </c>
    </row>
    <row r="382" spans="1:10" x14ac:dyDescent="0.25">
      <c r="A382" s="6">
        <v>381</v>
      </c>
      <c r="B382" t="s">
        <v>1743</v>
      </c>
      <c r="C382" t="s">
        <v>473</v>
      </c>
      <c r="D382" t="s">
        <v>28</v>
      </c>
      <c r="E382" t="str">
        <f>VLOOKUP(D382,'Tên SP'!B$2:C$1070,2,0)</f>
        <v>NƯỚC XẢ VẢI LIXSOFT HƯƠNG HOA HỒNG 3,6L/C04</v>
      </c>
      <c r="F382" s="4">
        <v>79000</v>
      </c>
      <c r="G382">
        <v>1</v>
      </c>
      <c r="H382" s="4">
        <v>79000</v>
      </c>
      <c r="I382" s="4">
        <v>0</v>
      </c>
      <c r="J382" s="5">
        <f t="shared" si="5"/>
        <v>79000</v>
      </c>
    </row>
    <row r="383" spans="1:10" x14ac:dyDescent="0.25">
      <c r="A383" s="6">
        <v>382</v>
      </c>
      <c r="B383" t="s">
        <v>1744</v>
      </c>
      <c r="C383" t="s">
        <v>474</v>
      </c>
      <c r="D383" t="s">
        <v>28</v>
      </c>
      <c r="E383" t="str">
        <f>VLOOKUP(D383,'Tên SP'!B$2:C$1070,2,0)</f>
        <v>NƯỚC XẢ VẢI LIXSOFT HƯƠNG HOA HỒNG 3,6L/C04</v>
      </c>
      <c r="F383" s="4">
        <v>79000</v>
      </c>
      <c r="G383">
        <v>1</v>
      </c>
      <c r="H383" s="4">
        <v>79000</v>
      </c>
      <c r="I383" s="4">
        <v>-1380</v>
      </c>
      <c r="J383" s="5">
        <f t="shared" si="5"/>
        <v>77620</v>
      </c>
    </row>
    <row r="384" spans="1:10" x14ac:dyDescent="0.25">
      <c r="A384" s="6">
        <v>383</v>
      </c>
      <c r="B384" t="s">
        <v>1745</v>
      </c>
      <c r="C384" t="s">
        <v>475</v>
      </c>
      <c r="D384" t="s">
        <v>91</v>
      </c>
      <c r="E384" t="str">
        <f>VLOOKUP(D384,'Tên SP'!B$2:C$1070,2,0)</f>
        <v>NƯỚC LAU SÀN NẮNG HẠ LIX 3.6L/C04</v>
      </c>
      <c r="F384" s="4">
        <v>74800</v>
      </c>
      <c r="G384">
        <v>1</v>
      </c>
      <c r="H384" s="4">
        <v>74800</v>
      </c>
      <c r="I384" s="4">
        <v>0</v>
      </c>
      <c r="J384" s="5">
        <f t="shared" si="5"/>
        <v>74800</v>
      </c>
    </row>
    <row r="385" spans="1:10" x14ac:dyDescent="0.25">
      <c r="A385" s="6">
        <v>384</v>
      </c>
      <c r="B385" t="s">
        <v>1746</v>
      </c>
      <c r="C385" t="s">
        <v>476</v>
      </c>
      <c r="D385" t="s">
        <v>23</v>
      </c>
      <c r="E385" t="str">
        <f>VLOOKUP(D385,'Tên SP'!B$2:C$1070,2,0)</f>
        <v>NƯỚC XẢ VẢI LIXSOFT 3,6L/C04</v>
      </c>
      <c r="F385" s="4">
        <v>79000</v>
      </c>
      <c r="G385">
        <v>1</v>
      </c>
      <c r="H385" s="4">
        <v>79000</v>
      </c>
      <c r="I385" s="4">
        <v>-9580</v>
      </c>
      <c r="J385" s="5">
        <f t="shared" si="5"/>
        <v>69420</v>
      </c>
    </row>
    <row r="386" spans="1:10" x14ac:dyDescent="0.25">
      <c r="A386" s="6">
        <v>385</v>
      </c>
      <c r="B386" t="s">
        <v>1747</v>
      </c>
      <c r="C386" t="s">
        <v>477</v>
      </c>
      <c r="D386" t="s">
        <v>28</v>
      </c>
      <c r="E386" t="str">
        <f>VLOOKUP(D386,'Tên SP'!B$2:C$1070,2,0)</f>
        <v>NƯỚC XẢ VẢI LIXSOFT HƯƠNG HOA HỒNG 3,6L/C04</v>
      </c>
      <c r="F386" s="4">
        <v>79000</v>
      </c>
      <c r="G386">
        <v>1</v>
      </c>
      <c r="H386" s="4">
        <v>79000</v>
      </c>
      <c r="I386" s="4">
        <v>-700</v>
      </c>
      <c r="J386" s="5">
        <f t="shared" si="5"/>
        <v>78300</v>
      </c>
    </row>
    <row r="387" spans="1:10" x14ac:dyDescent="0.25">
      <c r="A387" s="6">
        <v>386</v>
      </c>
      <c r="B387" t="s">
        <v>1748</v>
      </c>
      <c r="C387" t="s">
        <v>478</v>
      </c>
      <c r="D387" t="s">
        <v>9</v>
      </c>
      <c r="E387" t="str">
        <f>VLOOKUP(D387,'Tên SP'!B$2:C$1070,2,0)</f>
        <v>NƯỚC GIẶT LIX ĐẬM ĐẶC 3,5KG/T04 TÚI</v>
      </c>
      <c r="F387" s="4">
        <v>88000</v>
      </c>
      <c r="G387">
        <v>1</v>
      </c>
      <c r="H387" s="4">
        <v>88000</v>
      </c>
      <c r="I387" s="4">
        <v>-2650</v>
      </c>
      <c r="J387" s="5">
        <f t="shared" ref="J387:J447" si="6">H387+I387</f>
        <v>85350</v>
      </c>
    </row>
    <row r="388" spans="1:10" x14ac:dyDescent="0.25">
      <c r="A388" s="6">
        <v>387</v>
      </c>
      <c r="B388" t="s">
        <v>1748</v>
      </c>
      <c r="C388" t="s">
        <v>478</v>
      </c>
      <c r="D388" t="s">
        <v>9</v>
      </c>
      <c r="E388" t="str">
        <f>VLOOKUP(D388,'Tên SP'!B$2:C$1070,2,0)</f>
        <v>NƯỚC GIẶT LIX ĐẬM ĐẶC 3,5KG/T04 TÚI</v>
      </c>
      <c r="F388" s="4">
        <v>88000</v>
      </c>
      <c r="G388">
        <v>1</v>
      </c>
      <c r="H388" s="4">
        <v>88000</v>
      </c>
      <c r="I388" s="4">
        <v>-2650</v>
      </c>
      <c r="J388" s="5">
        <f t="shared" si="6"/>
        <v>85350</v>
      </c>
    </row>
    <row r="389" spans="1:10" x14ac:dyDescent="0.25">
      <c r="A389" s="6">
        <v>388</v>
      </c>
      <c r="B389" t="s">
        <v>1748</v>
      </c>
      <c r="C389" t="s">
        <v>478</v>
      </c>
      <c r="D389" t="s">
        <v>9</v>
      </c>
      <c r="E389" t="str">
        <f>VLOOKUP(D389,'Tên SP'!B$2:C$1070,2,0)</f>
        <v>NƯỚC GIẶT LIX ĐẬM ĐẶC 3,5KG/T04 TÚI</v>
      </c>
      <c r="F389" s="4">
        <v>88000</v>
      </c>
      <c r="G389">
        <v>1</v>
      </c>
      <c r="H389" s="4">
        <v>88000</v>
      </c>
      <c r="I389" s="4">
        <v>-2650</v>
      </c>
      <c r="J389" s="5">
        <f t="shared" si="6"/>
        <v>85350</v>
      </c>
    </row>
    <row r="390" spans="1:10" x14ac:dyDescent="0.25">
      <c r="A390" s="6">
        <v>389</v>
      </c>
      <c r="B390" t="s">
        <v>1748</v>
      </c>
      <c r="C390" t="s">
        <v>478</v>
      </c>
      <c r="D390" t="s">
        <v>9</v>
      </c>
      <c r="E390" t="str">
        <f>VLOOKUP(D390,'Tên SP'!B$2:C$1070,2,0)</f>
        <v>NƯỚC GIẶT LIX ĐẬM ĐẶC 3,5KG/T04 TÚI</v>
      </c>
      <c r="F390" s="4">
        <v>88000</v>
      </c>
      <c r="G390">
        <v>1</v>
      </c>
      <c r="H390" s="4">
        <v>88000</v>
      </c>
      <c r="I390" s="4">
        <v>-2650</v>
      </c>
      <c r="J390" s="5">
        <f t="shared" si="6"/>
        <v>85350</v>
      </c>
    </row>
    <row r="391" spans="1:10" x14ac:dyDescent="0.25">
      <c r="A391" s="6">
        <v>390</v>
      </c>
      <c r="B391" t="s">
        <v>1749</v>
      </c>
      <c r="C391" t="s">
        <v>479</v>
      </c>
      <c r="D391" t="s">
        <v>23</v>
      </c>
      <c r="E391" t="str">
        <f>VLOOKUP(D391,'Tên SP'!B$2:C$1070,2,0)</f>
        <v>NƯỚC XẢ VẢI LIXSOFT 3,6L/C04</v>
      </c>
      <c r="F391" s="4">
        <v>79000</v>
      </c>
      <c r="G391">
        <v>1</v>
      </c>
      <c r="H391" s="4">
        <v>79000</v>
      </c>
      <c r="I391" s="4">
        <v>-200</v>
      </c>
      <c r="J391" s="5">
        <f t="shared" si="6"/>
        <v>78800</v>
      </c>
    </row>
    <row r="392" spans="1:10" x14ac:dyDescent="0.25">
      <c r="A392" s="6">
        <v>391</v>
      </c>
      <c r="B392" t="s">
        <v>1750</v>
      </c>
      <c r="C392" t="s">
        <v>480</v>
      </c>
      <c r="D392" t="s">
        <v>9</v>
      </c>
      <c r="E392" t="str">
        <f>VLOOKUP(D392,'Tên SP'!B$2:C$1070,2,0)</f>
        <v>NƯỚC GIẶT LIX ĐẬM ĐẶC 3,5KG/T04 TÚI</v>
      </c>
      <c r="F392" s="4">
        <v>88000</v>
      </c>
      <c r="G392">
        <v>1</v>
      </c>
      <c r="H392" s="4">
        <v>88000</v>
      </c>
      <c r="I392" s="4">
        <v>-10000</v>
      </c>
      <c r="J392" s="5">
        <f t="shared" si="6"/>
        <v>78000</v>
      </c>
    </row>
    <row r="393" spans="1:10" x14ac:dyDescent="0.25">
      <c r="A393" s="6">
        <v>392</v>
      </c>
      <c r="B393" t="s">
        <v>1751</v>
      </c>
      <c r="C393" t="s">
        <v>481</v>
      </c>
      <c r="D393" t="s">
        <v>9</v>
      </c>
      <c r="E393" t="str">
        <f>VLOOKUP(D393,'Tên SP'!B$2:C$1070,2,0)</f>
        <v>NƯỚC GIẶT LIX ĐẬM ĐẶC 3,5KG/T04 TÚI</v>
      </c>
      <c r="F393" s="4">
        <v>88000</v>
      </c>
      <c r="G393">
        <v>1</v>
      </c>
      <c r="H393" s="4">
        <v>88000</v>
      </c>
      <c r="I393" s="4">
        <v>-11760</v>
      </c>
      <c r="J393" s="5">
        <f t="shared" si="6"/>
        <v>76240</v>
      </c>
    </row>
    <row r="394" spans="1:10" x14ac:dyDescent="0.25">
      <c r="A394" s="6">
        <v>393</v>
      </c>
      <c r="B394" t="s">
        <v>1752</v>
      </c>
      <c r="C394" t="s">
        <v>482</v>
      </c>
      <c r="D394" t="s">
        <v>23</v>
      </c>
      <c r="E394" t="str">
        <f>VLOOKUP(D394,'Tên SP'!B$2:C$1070,2,0)</f>
        <v>NƯỚC XẢ VẢI LIXSOFT 3,6L/C04</v>
      </c>
      <c r="F394" s="4">
        <v>79000</v>
      </c>
      <c r="G394">
        <v>1</v>
      </c>
      <c r="H394" s="4">
        <v>79000</v>
      </c>
      <c r="I394" s="4">
        <v>-10450</v>
      </c>
      <c r="J394" s="5">
        <f t="shared" si="6"/>
        <v>68550</v>
      </c>
    </row>
    <row r="395" spans="1:10" x14ac:dyDescent="0.25">
      <c r="A395" s="6">
        <v>394</v>
      </c>
      <c r="B395" t="s">
        <v>1753</v>
      </c>
      <c r="C395" t="s">
        <v>483</v>
      </c>
      <c r="D395" t="s">
        <v>9</v>
      </c>
      <c r="E395" t="str">
        <f>VLOOKUP(D395,'Tên SP'!B$2:C$1070,2,0)</f>
        <v>NƯỚC GIẶT LIX ĐẬM ĐẶC 3,5KG/T04 TÚI</v>
      </c>
      <c r="F395" s="4">
        <v>88000</v>
      </c>
      <c r="G395">
        <v>1</v>
      </c>
      <c r="H395" s="4">
        <v>88000</v>
      </c>
      <c r="I395" s="4">
        <v>-300</v>
      </c>
      <c r="J395" s="5">
        <f t="shared" si="6"/>
        <v>87700</v>
      </c>
    </row>
    <row r="396" spans="1:10" x14ac:dyDescent="0.25">
      <c r="A396" s="6">
        <v>395</v>
      </c>
      <c r="B396" t="s">
        <v>1754</v>
      </c>
      <c r="C396" t="s">
        <v>484</v>
      </c>
      <c r="D396" t="s">
        <v>23</v>
      </c>
      <c r="E396" t="str">
        <f>VLOOKUP(D396,'Tên SP'!B$2:C$1070,2,0)</f>
        <v>NƯỚC XẢ VẢI LIXSOFT 3,6L/C04</v>
      </c>
      <c r="F396" s="4">
        <v>79000</v>
      </c>
      <c r="G396">
        <v>1</v>
      </c>
      <c r="H396" s="4">
        <v>79000</v>
      </c>
      <c r="I396" s="4">
        <v>-1580</v>
      </c>
      <c r="J396" s="5">
        <f t="shared" si="6"/>
        <v>77420</v>
      </c>
    </row>
    <row r="397" spans="1:10" x14ac:dyDescent="0.25">
      <c r="A397" s="6">
        <v>396</v>
      </c>
      <c r="B397" t="s">
        <v>1755</v>
      </c>
      <c r="C397" t="s">
        <v>485</v>
      </c>
      <c r="D397" t="s">
        <v>117</v>
      </c>
      <c r="E397" t="str">
        <f>VLOOKUP(D397,'Tên SP'!B$2:C$1070,2,0)</f>
        <v>NƯỚC RỬA CHÉN ON1 KIWI-ALOEVERA 1,5KG/C08</v>
      </c>
      <c r="F397" s="4">
        <v>59000</v>
      </c>
      <c r="G397">
        <v>1</v>
      </c>
      <c r="H397" s="4">
        <v>59000</v>
      </c>
      <c r="I397" s="4">
        <v>0</v>
      </c>
      <c r="J397" s="5">
        <f t="shared" si="6"/>
        <v>59000</v>
      </c>
    </row>
    <row r="398" spans="1:10" x14ac:dyDescent="0.25">
      <c r="A398" s="6">
        <v>397</v>
      </c>
      <c r="B398" t="s">
        <v>1756</v>
      </c>
      <c r="C398" t="s">
        <v>486</v>
      </c>
      <c r="D398" t="s">
        <v>44</v>
      </c>
      <c r="E398" t="str">
        <f>VLOOKUP(D398,'Tên SP'!B$2:C$1070,2,0)</f>
        <v>BỘT GIẶT LIXE CHANH 5,5KG/03</v>
      </c>
      <c r="F398" s="4">
        <v>127600</v>
      </c>
      <c r="G398">
        <v>1</v>
      </c>
      <c r="H398" s="4">
        <v>127600</v>
      </c>
      <c r="I398" s="4">
        <v>-300</v>
      </c>
      <c r="J398" s="5">
        <f t="shared" si="6"/>
        <v>127300</v>
      </c>
    </row>
    <row r="399" spans="1:10" x14ac:dyDescent="0.25">
      <c r="A399" s="6">
        <v>398</v>
      </c>
      <c r="B399" t="s">
        <v>1757</v>
      </c>
      <c r="C399" t="s">
        <v>487</v>
      </c>
      <c r="D399" t="s">
        <v>23</v>
      </c>
      <c r="E399" t="str">
        <f>VLOOKUP(D399,'Tên SP'!B$2:C$1070,2,0)</f>
        <v>NƯỚC XẢ VẢI LIXSOFT 3,6L/C04</v>
      </c>
      <c r="F399" s="4">
        <v>79000</v>
      </c>
      <c r="G399">
        <v>1</v>
      </c>
      <c r="H399" s="4">
        <v>79000</v>
      </c>
      <c r="I399" s="4">
        <v>-10000</v>
      </c>
      <c r="J399" s="5">
        <f t="shared" si="6"/>
        <v>69000</v>
      </c>
    </row>
    <row r="400" spans="1:10" x14ac:dyDescent="0.25">
      <c r="A400" s="6">
        <v>399</v>
      </c>
      <c r="B400" t="s">
        <v>1758</v>
      </c>
      <c r="C400" t="s">
        <v>488</v>
      </c>
      <c r="D400" t="s">
        <v>9</v>
      </c>
      <c r="E400" t="str">
        <f>VLOOKUP(D400,'Tên SP'!B$2:C$1070,2,0)</f>
        <v>NƯỚC GIẶT LIX ĐẬM ĐẶC 3,5KG/T04 TÚI</v>
      </c>
      <c r="F400" s="4">
        <v>88000</v>
      </c>
      <c r="G400">
        <v>1</v>
      </c>
      <c r="H400" s="4">
        <v>88000</v>
      </c>
      <c r="I400" s="4">
        <v>-100</v>
      </c>
      <c r="J400" s="5">
        <f t="shared" si="6"/>
        <v>87900</v>
      </c>
    </row>
    <row r="401" spans="1:10" x14ac:dyDescent="0.25">
      <c r="A401" s="6">
        <v>400</v>
      </c>
      <c r="B401" t="s">
        <v>1759</v>
      </c>
      <c r="C401" t="s">
        <v>489</v>
      </c>
      <c r="D401" t="s">
        <v>28</v>
      </c>
      <c r="E401" t="str">
        <f>VLOOKUP(D401,'Tên SP'!B$2:C$1070,2,0)</f>
        <v>NƯỚC XẢ VẢI LIXSOFT HƯƠNG HOA HỒNG 3,6L/C04</v>
      </c>
      <c r="F401" s="4">
        <v>79000</v>
      </c>
      <c r="G401">
        <v>1</v>
      </c>
      <c r="H401" s="4">
        <v>79000</v>
      </c>
      <c r="I401" s="4">
        <v>-5250</v>
      </c>
      <c r="J401" s="5">
        <f t="shared" si="6"/>
        <v>73750</v>
      </c>
    </row>
    <row r="402" spans="1:10" x14ac:dyDescent="0.25">
      <c r="A402" s="6">
        <v>401</v>
      </c>
      <c r="B402" t="s">
        <v>1759</v>
      </c>
      <c r="C402" t="s">
        <v>489</v>
      </c>
      <c r="D402" t="s">
        <v>28</v>
      </c>
      <c r="E402" t="str">
        <f>VLOOKUP(D402,'Tên SP'!B$2:C$1070,2,0)</f>
        <v>NƯỚC XẢ VẢI LIXSOFT HƯƠNG HOA HỒNG 3,6L/C04</v>
      </c>
      <c r="F402" s="4">
        <v>79000</v>
      </c>
      <c r="G402">
        <v>1</v>
      </c>
      <c r="H402" s="4">
        <v>79000</v>
      </c>
      <c r="I402" s="4">
        <v>-5250</v>
      </c>
      <c r="J402" s="5">
        <f t="shared" si="6"/>
        <v>73750</v>
      </c>
    </row>
    <row r="403" spans="1:10" x14ac:dyDescent="0.25">
      <c r="A403" s="6">
        <v>402</v>
      </c>
      <c r="B403" t="s">
        <v>1759</v>
      </c>
      <c r="C403" t="s">
        <v>489</v>
      </c>
      <c r="D403" t="s">
        <v>23</v>
      </c>
      <c r="E403" t="str">
        <f>VLOOKUP(D403,'Tên SP'!B$2:C$1070,2,0)</f>
        <v>NƯỚC XẢ VẢI LIXSOFT 3,6L/C04</v>
      </c>
      <c r="F403" s="4">
        <v>79000</v>
      </c>
      <c r="G403">
        <v>1</v>
      </c>
      <c r="H403" s="4">
        <v>79000</v>
      </c>
      <c r="I403" s="4">
        <v>-5000</v>
      </c>
      <c r="J403" s="5">
        <f t="shared" si="6"/>
        <v>74000</v>
      </c>
    </row>
    <row r="404" spans="1:10" x14ac:dyDescent="0.25">
      <c r="A404" s="6">
        <v>403</v>
      </c>
      <c r="B404" t="s">
        <v>1759</v>
      </c>
      <c r="C404" t="s">
        <v>489</v>
      </c>
      <c r="D404" t="s">
        <v>23</v>
      </c>
      <c r="E404" t="str">
        <f>VLOOKUP(D404,'Tên SP'!B$2:C$1070,2,0)</f>
        <v>NƯỚC XẢ VẢI LIXSOFT 3,6L/C04</v>
      </c>
      <c r="F404" s="4">
        <v>79000</v>
      </c>
      <c r="G404">
        <v>1</v>
      </c>
      <c r="H404" s="4">
        <v>79000</v>
      </c>
      <c r="I404" s="4">
        <v>-5000</v>
      </c>
      <c r="J404" s="5">
        <f t="shared" si="6"/>
        <v>74000</v>
      </c>
    </row>
    <row r="405" spans="1:10" x14ac:dyDescent="0.25">
      <c r="A405" s="6">
        <v>404</v>
      </c>
      <c r="B405" t="s">
        <v>1760</v>
      </c>
      <c r="C405" t="s">
        <v>490</v>
      </c>
      <c r="D405" t="s">
        <v>9</v>
      </c>
      <c r="E405" t="str">
        <f>VLOOKUP(D405,'Tên SP'!B$2:C$1070,2,0)</f>
        <v>NƯỚC GIẶT LIX ĐẬM ĐẶC 3,5KG/T04 TÚI</v>
      </c>
      <c r="F405" s="4">
        <v>88000</v>
      </c>
      <c r="G405">
        <v>1</v>
      </c>
      <c r="H405" s="4">
        <v>88000</v>
      </c>
      <c r="I405" s="4">
        <v>-11150</v>
      </c>
      <c r="J405" s="5">
        <f t="shared" si="6"/>
        <v>76850</v>
      </c>
    </row>
    <row r="406" spans="1:10" x14ac:dyDescent="0.25">
      <c r="A406" s="6">
        <v>405</v>
      </c>
      <c r="B406" t="s">
        <v>1761</v>
      </c>
      <c r="C406" t="s">
        <v>491</v>
      </c>
      <c r="D406" t="s">
        <v>9</v>
      </c>
      <c r="E406" t="str">
        <f>VLOOKUP(D406,'Tên SP'!B$2:C$1070,2,0)</f>
        <v>NƯỚC GIẶT LIX ĐẬM ĐẶC 3,5KG/T04 TÚI</v>
      </c>
      <c r="F406" s="4">
        <v>88000</v>
      </c>
      <c r="G406">
        <v>1</v>
      </c>
      <c r="H406" s="4">
        <v>88000</v>
      </c>
      <c r="I406" s="4">
        <v>-200</v>
      </c>
      <c r="J406" s="5">
        <f t="shared" si="6"/>
        <v>87800</v>
      </c>
    </row>
    <row r="407" spans="1:10" x14ac:dyDescent="0.25">
      <c r="A407" s="6">
        <v>406</v>
      </c>
      <c r="B407" t="s">
        <v>1762</v>
      </c>
      <c r="C407" t="s">
        <v>492</v>
      </c>
      <c r="D407" t="s">
        <v>23</v>
      </c>
      <c r="E407" t="str">
        <f>VLOOKUP(D407,'Tên SP'!B$2:C$1070,2,0)</f>
        <v>NƯỚC XẢ VẢI LIXSOFT 3,6L/C04</v>
      </c>
      <c r="F407" s="4">
        <v>79000</v>
      </c>
      <c r="G407">
        <v>1</v>
      </c>
      <c r="H407" s="4">
        <v>79000</v>
      </c>
      <c r="I407" s="4">
        <v>-10750</v>
      </c>
      <c r="J407" s="5">
        <f t="shared" si="6"/>
        <v>68250</v>
      </c>
    </row>
    <row r="408" spans="1:10" x14ac:dyDescent="0.25">
      <c r="A408" s="6">
        <v>407</v>
      </c>
      <c r="B408" t="s">
        <v>1763</v>
      </c>
      <c r="C408" t="s">
        <v>493</v>
      </c>
      <c r="D408" t="s">
        <v>28</v>
      </c>
      <c r="E408" t="str">
        <f>VLOOKUP(D408,'Tên SP'!B$2:C$1070,2,0)</f>
        <v>NƯỚC XẢ VẢI LIXSOFT HƯƠNG HOA HỒNG 3,6L/C04</v>
      </c>
      <c r="F408" s="4">
        <v>79000</v>
      </c>
      <c r="G408">
        <v>1</v>
      </c>
      <c r="H408" s="4">
        <v>79000</v>
      </c>
      <c r="I408" s="4">
        <v>-11580</v>
      </c>
      <c r="J408" s="5">
        <f t="shared" si="6"/>
        <v>67420</v>
      </c>
    </row>
    <row r="409" spans="1:10" x14ac:dyDescent="0.25">
      <c r="A409" s="6">
        <v>408</v>
      </c>
      <c r="B409" t="s">
        <v>1764</v>
      </c>
      <c r="C409" t="s">
        <v>494</v>
      </c>
      <c r="D409" t="s">
        <v>9</v>
      </c>
      <c r="E409" t="str">
        <f>VLOOKUP(D409,'Tên SP'!B$2:C$1070,2,0)</f>
        <v>NƯỚC GIẶT LIX ĐẬM ĐẶC 3,5KG/T04 TÚI</v>
      </c>
      <c r="F409" s="4">
        <v>88000</v>
      </c>
      <c r="G409">
        <v>1</v>
      </c>
      <c r="H409" s="4">
        <v>88000</v>
      </c>
      <c r="I409" s="4">
        <v>-11760</v>
      </c>
      <c r="J409" s="5">
        <f t="shared" si="6"/>
        <v>76240</v>
      </c>
    </row>
    <row r="410" spans="1:10" x14ac:dyDescent="0.25">
      <c r="A410" s="6">
        <v>409</v>
      </c>
      <c r="B410" t="s">
        <v>1765</v>
      </c>
      <c r="C410" t="s">
        <v>495</v>
      </c>
      <c r="D410" t="s">
        <v>28</v>
      </c>
      <c r="E410" t="str">
        <f>VLOOKUP(D410,'Tên SP'!B$2:C$1070,2,0)</f>
        <v>NƯỚC XẢ VẢI LIXSOFT HƯƠNG HOA HỒNG 3,6L/C04</v>
      </c>
      <c r="F410" s="4">
        <v>79000</v>
      </c>
      <c r="G410">
        <v>1</v>
      </c>
      <c r="H410" s="4">
        <v>79000</v>
      </c>
      <c r="I410" s="4">
        <v>0</v>
      </c>
      <c r="J410" s="5">
        <f t="shared" si="6"/>
        <v>79000</v>
      </c>
    </row>
    <row r="411" spans="1:10" x14ac:dyDescent="0.25">
      <c r="A411" s="6">
        <v>410</v>
      </c>
      <c r="B411" t="s">
        <v>1766</v>
      </c>
      <c r="C411" t="s">
        <v>496</v>
      </c>
      <c r="D411" t="s">
        <v>28</v>
      </c>
      <c r="E411" t="str">
        <f>VLOOKUP(D411,'Tên SP'!B$2:C$1070,2,0)</f>
        <v>NƯỚC XẢ VẢI LIXSOFT HƯƠNG HOA HỒNG 3,6L/C04</v>
      </c>
      <c r="F411" s="4">
        <v>79000</v>
      </c>
      <c r="G411">
        <v>1</v>
      </c>
      <c r="H411" s="4">
        <v>79000</v>
      </c>
      <c r="I411" s="4">
        <v>-10600</v>
      </c>
      <c r="J411" s="5">
        <f t="shared" si="6"/>
        <v>68400</v>
      </c>
    </row>
    <row r="412" spans="1:10" x14ac:dyDescent="0.25">
      <c r="A412" s="6">
        <v>411</v>
      </c>
      <c r="B412" t="s">
        <v>1767</v>
      </c>
      <c r="C412" t="s">
        <v>497</v>
      </c>
      <c r="D412" t="s">
        <v>9</v>
      </c>
      <c r="E412" t="str">
        <f>VLOOKUP(D412,'Tên SP'!B$2:C$1070,2,0)</f>
        <v>NƯỚC GIẶT LIX ĐẬM ĐẶC 3,5KG/T04 TÚI</v>
      </c>
      <c r="F412" s="4">
        <v>88000</v>
      </c>
      <c r="G412">
        <v>1</v>
      </c>
      <c r="H412" s="4">
        <v>88000</v>
      </c>
      <c r="I412" s="4">
        <v>-150</v>
      </c>
      <c r="J412" s="5">
        <f t="shared" si="6"/>
        <v>87850</v>
      </c>
    </row>
    <row r="413" spans="1:10" x14ac:dyDescent="0.25">
      <c r="A413" s="6">
        <v>412</v>
      </c>
      <c r="B413" t="s">
        <v>1768</v>
      </c>
      <c r="C413" t="s">
        <v>498</v>
      </c>
      <c r="D413" t="s">
        <v>9</v>
      </c>
      <c r="E413" t="str">
        <f>VLOOKUP(D413,'Tên SP'!B$2:C$1070,2,0)</f>
        <v>NƯỚC GIẶT LIX ĐẬM ĐẶC 3,5KG/T04 TÚI</v>
      </c>
      <c r="F413" s="4">
        <v>88000</v>
      </c>
      <c r="G413">
        <v>1</v>
      </c>
      <c r="H413" s="4">
        <v>88000</v>
      </c>
      <c r="I413" s="4">
        <v>-10100</v>
      </c>
      <c r="J413" s="5">
        <f t="shared" si="6"/>
        <v>77900</v>
      </c>
    </row>
    <row r="414" spans="1:10" x14ac:dyDescent="0.25">
      <c r="A414" s="6">
        <v>413</v>
      </c>
      <c r="B414" t="s">
        <v>1769</v>
      </c>
      <c r="C414" t="s">
        <v>499</v>
      </c>
      <c r="D414" t="s">
        <v>9</v>
      </c>
      <c r="E414" t="str">
        <f>VLOOKUP(D414,'Tên SP'!B$2:C$1070,2,0)</f>
        <v>NƯỚC GIẶT LIX ĐẬM ĐẶC 3,5KG/T04 TÚI</v>
      </c>
      <c r="F414" s="4">
        <v>88000</v>
      </c>
      <c r="G414">
        <v>1</v>
      </c>
      <c r="H414" s="4">
        <v>88000</v>
      </c>
      <c r="I414" s="4">
        <v>0</v>
      </c>
      <c r="J414" s="5">
        <f t="shared" si="6"/>
        <v>88000</v>
      </c>
    </row>
    <row r="415" spans="1:10" x14ac:dyDescent="0.25">
      <c r="A415" s="6">
        <v>414</v>
      </c>
      <c r="B415" t="s">
        <v>1770</v>
      </c>
      <c r="C415" t="s">
        <v>500</v>
      </c>
      <c r="D415" t="s">
        <v>104</v>
      </c>
      <c r="E415" t="str">
        <f>VLOOKUP(D415,'Tên SP'!B$2:C$1070,2,0)</f>
        <v>NƯỚC GIẶT LIX ĐẬM ĐẶC 2KG/C06</v>
      </c>
      <c r="F415" s="4">
        <v>66000</v>
      </c>
      <c r="G415">
        <v>1</v>
      </c>
      <c r="H415" s="4">
        <v>66000</v>
      </c>
      <c r="I415" s="4">
        <v>-400</v>
      </c>
      <c r="J415" s="5">
        <f t="shared" si="6"/>
        <v>65600</v>
      </c>
    </row>
    <row r="416" spans="1:10" x14ac:dyDescent="0.25">
      <c r="A416" s="6">
        <v>415</v>
      </c>
      <c r="B416" t="s">
        <v>1771</v>
      </c>
      <c r="C416" t="s">
        <v>501</v>
      </c>
      <c r="D416" t="s">
        <v>23</v>
      </c>
      <c r="E416" t="str">
        <f>VLOOKUP(D416,'Tên SP'!B$2:C$1070,2,0)</f>
        <v>NƯỚC XẢ VẢI LIXSOFT 3,6L/C04</v>
      </c>
      <c r="F416" s="4">
        <v>79000</v>
      </c>
      <c r="G416">
        <v>1</v>
      </c>
      <c r="H416" s="4">
        <v>79000</v>
      </c>
      <c r="I416" s="4">
        <v>0</v>
      </c>
      <c r="J416" s="5">
        <f t="shared" si="6"/>
        <v>79000</v>
      </c>
    </row>
    <row r="417" spans="1:10" x14ac:dyDescent="0.25">
      <c r="A417" s="6">
        <v>416</v>
      </c>
      <c r="B417" t="s">
        <v>1772</v>
      </c>
      <c r="C417" t="s">
        <v>502</v>
      </c>
      <c r="D417" t="s">
        <v>28</v>
      </c>
      <c r="E417" t="str">
        <f>VLOOKUP(D417,'Tên SP'!B$2:C$1070,2,0)</f>
        <v>NƯỚC XẢ VẢI LIXSOFT HƯƠNG HOA HỒNG 3,6L/C04</v>
      </c>
      <c r="F417" s="4">
        <v>79000</v>
      </c>
      <c r="G417">
        <v>1</v>
      </c>
      <c r="H417" s="4">
        <v>79000</v>
      </c>
      <c r="I417" s="4">
        <v>0</v>
      </c>
      <c r="J417" s="5">
        <f t="shared" si="6"/>
        <v>79000</v>
      </c>
    </row>
    <row r="418" spans="1:10" x14ac:dyDescent="0.25">
      <c r="A418" s="6">
        <v>417</v>
      </c>
      <c r="B418" t="s">
        <v>1773</v>
      </c>
      <c r="C418" t="s">
        <v>503</v>
      </c>
      <c r="D418" t="s">
        <v>9</v>
      </c>
      <c r="E418" t="str">
        <f>VLOOKUP(D418,'Tên SP'!B$2:C$1070,2,0)</f>
        <v>NƯỚC GIẶT LIX ĐẬM ĐẶC 3,5KG/T04 TÚI</v>
      </c>
      <c r="F418" s="4">
        <v>88000</v>
      </c>
      <c r="G418">
        <v>1</v>
      </c>
      <c r="H418" s="4">
        <v>88000</v>
      </c>
      <c r="I418" s="4">
        <v>-10000</v>
      </c>
      <c r="J418" s="5">
        <f t="shared" si="6"/>
        <v>78000</v>
      </c>
    </row>
    <row r="419" spans="1:10" x14ac:dyDescent="0.25">
      <c r="A419" s="6">
        <v>418</v>
      </c>
      <c r="B419" t="s">
        <v>1774</v>
      </c>
      <c r="C419" t="s">
        <v>504</v>
      </c>
      <c r="D419" t="s">
        <v>104</v>
      </c>
      <c r="E419" t="str">
        <f>VLOOKUP(D419,'Tên SP'!B$2:C$1070,2,0)</f>
        <v>NƯỚC GIẶT LIX ĐẬM ĐẶC 2KG/C06</v>
      </c>
      <c r="F419" s="4">
        <v>66000</v>
      </c>
      <c r="G419">
        <v>1</v>
      </c>
      <c r="H419" s="4">
        <v>66000</v>
      </c>
      <c r="I419" s="4">
        <v>-10050</v>
      </c>
      <c r="J419" s="5">
        <f t="shared" si="6"/>
        <v>55950</v>
      </c>
    </row>
    <row r="420" spans="1:10" x14ac:dyDescent="0.25">
      <c r="A420" s="6">
        <v>419</v>
      </c>
      <c r="B420" t="s">
        <v>1775</v>
      </c>
      <c r="C420" t="s">
        <v>505</v>
      </c>
      <c r="D420" t="s">
        <v>87</v>
      </c>
      <c r="E420" t="str">
        <f>VLOOKUP(D420,'Tên SP'!B$2:C$1070,2,0)</f>
        <v>NƯỚC RỬA CHÉN SIÊU SẠCH TRÀ 1,4KG/C04</v>
      </c>
      <c r="F420" s="4">
        <v>43600</v>
      </c>
      <c r="G420">
        <v>1</v>
      </c>
      <c r="H420" s="4">
        <v>43600</v>
      </c>
      <c r="I420" s="4">
        <v>0</v>
      </c>
      <c r="J420" s="5">
        <f t="shared" si="6"/>
        <v>43600</v>
      </c>
    </row>
    <row r="421" spans="1:10" x14ac:dyDescent="0.25">
      <c r="A421" s="6">
        <v>420</v>
      </c>
      <c r="B421" t="s">
        <v>1776</v>
      </c>
      <c r="C421" t="s">
        <v>506</v>
      </c>
      <c r="D421" t="s">
        <v>28</v>
      </c>
      <c r="E421" t="str">
        <f>VLOOKUP(D421,'Tên SP'!B$2:C$1070,2,0)</f>
        <v>NƯỚC XẢ VẢI LIXSOFT HƯƠNG HOA HỒNG 3,6L/C04</v>
      </c>
      <c r="F421" s="4">
        <v>89000</v>
      </c>
      <c r="G421">
        <v>1</v>
      </c>
      <c r="H421" s="4">
        <v>89000</v>
      </c>
      <c r="I421" s="4">
        <v>-3867</v>
      </c>
      <c r="J421" s="5">
        <f t="shared" si="6"/>
        <v>85133</v>
      </c>
    </row>
    <row r="422" spans="1:10" x14ac:dyDescent="0.25">
      <c r="A422" s="6">
        <v>421</v>
      </c>
      <c r="B422" t="s">
        <v>1776</v>
      </c>
      <c r="C422" t="s">
        <v>506</v>
      </c>
      <c r="D422" t="s">
        <v>102</v>
      </c>
      <c r="E422" t="str">
        <f>VLOOKUP(D422,'Tên SP'!B$2:C$1070,2,0)</f>
        <v>NƯỚC GIẶT LIX HƯƠNG NƯỚC HOA 3,5KG/T04 TÚI</v>
      </c>
      <c r="F422" s="4">
        <v>95100</v>
      </c>
      <c r="G422">
        <v>1</v>
      </c>
      <c r="H422" s="4">
        <v>95100</v>
      </c>
      <c r="I422" s="4">
        <v>-4233</v>
      </c>
      <c r="J422" s="5">
        <f t="shared" si="6"/>
        <v>90867</v>
      </c>
    </row>
    <row r="423" spans="1:10" x14ac:dyDescent="0.25">
      <c r="A423" s="6">
        <v>422</v>
      </c>
      <c r="B423" t="s">
        <v>1777</v>
      </c>
      <c r="C423" t="s">
        <v>507</v>
      </c>
      <c r="D423" t="s">
        <v>28</v>
      </c>
      <c r="E423" t="str">
        <f>VLOOKUP(D423,'Tên SP'!B$2:C$1070,2,0)</f>
        <v>NƯỚC XẢ VẢI LIXSOFT HƯƠNG HOA HỒNG 3,6L/C04</v>
      </c>
      <c r="F423" s="4">
        <v>89000</v>
      </c>
      <c r="G423">
        <v>1</v>
      </c>
      <c r="H423" s="4">
        <v>89000</v>
      </c>
      <c r="I423" s="4">
        <v>-100</v>
      </c>
      <c r="J423" s="5">
        <f t="shared" si="6"/>
        <v>88900</v>
      </c>
    </row>
    <row r="424" spans="1:10" x14ac:dyDescent="0.25">
      <c r="A424" s="6">
        <v>424</v>
      </c>
      <c r="B424" t="s">
        <v>1778</v>
      </c>
      <c r="C424" t="s">
        <v>508</v>
      </c>
      <c r="D424" t="s">
        <v>9</v>
      </c>
      <c r="E424" t="str">
        <f>VLOOKUP(D424,'Tên SP'!B$2:C$1070,2,0)</f>
        <v>NƯỚC GIẶT LIX ĐẬM ĐẶC 3,5KG/T04 TÚI</v>
      </c>
      <c r="F424" s="4">
        <v>88000</v>
      </c>
      <c r="G424">
        <v>1</v>
      </c>
      <c r="H424" s="4">
        <v>88000</v>
      </c>
      <c r="I424" s="4">
        <v>-100</v>
      </c>
      <c r="J424" s="5">
        <f t="shared" si="6"/>
        <v>87900</v>
      </c>
    </row>
    <row r="425" spans="1:10" x14ac:dyDescent="0.25">
      <c r="A425" s="6">
        <v>427</v>
      </c>
      <c r="B425" t="s">
        <v>1779</v>
      </c>
      <c r="C425" t="s">
        <v>509</v>
      </c>
      <c r="D425" t="s">
        <v>9</v>
      </c>
      <c r="E425" t="str">
        <f>VLOOKUP(D425,'Tên SP'!B$2:C$1070,2,0)</f>
        <v>NƯỚC GIẶT LIX ĐẬM ĐẶC 3,5KG/T04 TÚI</v>
      </c>
      <c r="F425" s="4">
        <v>88000</v>
      </c>
      <c r="G425">
        <v>1</v>
      </c>
      <c r="H425" s="4">
        <v>88000</v>
      </c>
      <c r="I425" s="4">
        <v>-250</v>
      </c>
      <c r="J425" s="5">
        <f t="shared" si="6"/>
        <v>87750</v>
      </c>
    </row>
    <row r="426" spans="1:10" x14ac:dyDescent="0.25">
      <c r="A426" s="6">
        <v>428</v>
      </c>
      <c r="B426" t="s">
        <v>1780</v>
      </c>
      <c r="C426" t="s">
        <v>510</v>
      </c>
      <c r="D426" t="s">
        <v>9</v>
      </c>
      <c r="E426" t="str">
        <f>VLOOKUP(D426,'Tên SP'!B$2:C$1070,2,0)</f>
        <v>NƯỚC GIẶT LIX ĐẬM ĐẶC 3,5KG/T04 TÚI</v>
      </c>
      <c r="F426" s="4">
        <v>88000</v>
      </c>
      <c r="G426">
        <v>1</v>
      </c>
      <c r="H426" s="4">
        <v>88000</v>
      </c>
      <c r="I426" s="4">
        <v>-8000</v>
      </c>
      <c r="J426" s="5">
        <f t="shared" si="6"/>
        <v>80000</v>
      </c>
    </row>
    <row r="427" spans="1:10" x14ac:dyDescent="0.25">
      <c r="A427" s="6">
        <v>429</v>
      </c>
      <c r="B427" t="s">
        <v>1781</v>
      </c>
      <c r="C427" t="s">
        <v>511</v>
      </c>
      <c r="D427" t="s">
        <v>9</v>
      </c>
      <c r="E427" t="str">
        <f>VLOOKUP(D427,'Tên SP'!B$2:C$1070,2,0)</f>
        <v>NƯỚC GIẶT LIX ĐẬM ĐẶC 3,5KG/T04 TÚI</v>
      </c>
      <c r="F427" s="4">
        <v>88000</v>
      </c>
      <c r="G427">
        <v>1</v>
      </c>
      <c r="H427" s="4">
        <v>88000</v>
      </c>
      <c r="I427" s="4">
        <v>-5075</v>
      </c>
      <c r="J427" s="5">
        <f t="shared" si="6"/>
        <v>82925</v>
      </c>
    </row>
    <row r="428" spans="1:10" x14ac:dyDescent="0.25">
      <c r="A428" s="6">
        <v>430</v>
      </c>
      <c r="B428" t="s">
        <v>1781</v>
      </c>
      <c r="C428" t="s">
        <v>511</v>
      </c>
      <c r="D428" t="s">
        <v>9</v>
      </c>
      <c r="E428" t="str">
        <f>VLOOKUP(D428,'Tên SP'!B$2:C$1070,2,0)</f>
        <v>NƯỚC GIẶT LIX ĐẬM ĐẶC 3,5KG/T04 TÚI</v>
      </c>
      <c r="F428" s="4">
        <v>88000</v>
      </c>
      <c r="G428">
        <v>1</v>
      </c>
      <c r="H428" s="4">
        <v>88000</v>
      </c>
      <c r="I428" s="4">
        <v>-5075</v>
      </c>
      <c r="J428" s="5">
        <f t="shared" si="6"/>
        <v>82925</v>
      </c>
    </row>
    <row r="429" spans="1:10" x14ac:dyDescent="0.25">
      <c r="A429" s="6">
        <v>431</v>
      </c>
      <c r="B429" t="s">
        <v>1781</v>
      </c>
      <c r="C429" t="s">
        <v>511</v>
      </c>
      <c r="D429" t="s">
        <v>9</v>
      </c>
      <c r="E429" t="str">
        <f>VLOOKUP(D429,'Tên SP'!B$2:C$1070,2,0)</f>
        <v>NƯỚC GIẶT LIX ĐẬM ĐẶC 3,5KG/T04 TÚI</v>
      </c>
      <c r="F429" s="4">
        <v>88000</v>
      </c>
      <c r="G429">
        <v>1</v>
      </c>
      <c r="H429" s="4">
        <v>88000</v>
      </c>
      <c r="I429" s="4">
        <v>-5075</v>
      </c>
      <c r="J429" s="5">
        <f t="shared" si="6"/>
        <v>82925</v>
      </c>
    </row>
    <row r="430" spans="1:10" x14ac:dyDescent="0.25">
      <c r="A430" s="6">
        <v>432</v>
      </c>
      <c r="B430" t="s">
        <v>1781</v>
      </c>
      <c r="C430" t="s">
        <v>511</v>
      </c>
      <c r="D430" t="s">
        <v>9</v>
      </c>
      <c r="E430" t="str">
        <f>VLOOKUP(D430,'Tên SP'!B$2:C$1070,2,0)</f>
        <v>NƯỚC GIẶT LIX ĐẬM ĐẶC 3,5KG/T04 TÚI</v>
      </c>
      <c r="F430" s="4">
        <v>88000</v>
      </c>
      <c r="G430">
        <v>1</v>
      </c>
      <c r="H430" s="4">
        <v>88000</v>
      </c>
      <c r="I430" s="4">
        <v>-5075</v>
      </c>
      <c r="J430" s="5">
        <f t="shared" si="6"/>
        <v>82925</v>
      </c>
    </row>
    <row r="431" spans="1:10" x14ac:dyDescent="0.25">
      <c r="A431" s="6">
        <v>433</v>
      </c>
      <c r="B431" t="s">
        <v>1782</v>
      </c>
      <c r="C431" t="s">
        <v>512</v>
      </c>
      <c r="D431" t="s">
        <v>108</v>
      </c>
      <c r="E431" t="str">
        <f>VLOOKUP(D431,'Tên SP'!B$2:C$1070,2,0)</f>
        <v>NƯỚC GIẶT LIX SIÊU SẠCH HOA ANH ĐÀO 3.5KG/C04</v>
      </c>
      <c r="F431" s="4">
        <v>100050</v>
      </c>
      <c r="G431">
        <v>1</v>
      </c>
      <c r="H431" s="4">
        <v>100050</v>
      </c>
      <c r="I431" s="4">
        <v>-200</v>
      </c>
      <c r="J431" s="5">
        <f t="shared" si="6"/>
        <v>99850</v>
      </c>
    </row>
    <row r="432" spans="1:10" x14ac:dyDescent="0.25">
      <c r="A432" s="6">
        <v>434</v>
      </c>
      <c r="B432" t="s">
        <v>1783</v>
      </c>
      <c r="C432" t="s">
        <v>513</v>
      </c>
      <c r="D432" t="s">
        <v>102</v>
      </c>
      <c r="E432" t="str">
        <f>VLOOKUP(D432,'Tên SP'!B$2:C$1070,2,0)</f>
        <v>NƯỚC GIẶT LIX HƯƠNG NƯỚC HOA 3,5KG/T04 TÚI</v>
      </c>
      <c r="F432" s="4">
        <v>95100</v>
      </c>
      <c r="G432">
        <v>1</v>
      </c>
      <c r="H432" s="4">
        <v>95100</v>
      </c>
      <c r="I432" s="4">
        <v>-550</v>
      </c>
      <c r="J432" s="5">
        <f t="shared" si="6"/>
        <v>94550</v>
      </c>
    </row>
    <row r="433" spans="1:10" x14ac:dyDescent="0.25">
      <c r="A433" s="6">
        <v>435</v>
      </c>
      <c r="B433" t="s">
        <v>1784</v>
      </c>
      <c r="C433" t="s">
        <v>514</v>
      </c>
      <c r="D433" t="s">
        <v>2743</v>
      </c>
      <c r="E433" t="str">
        <f>VLOOKUP(D433,'Tên SP'!B$2:C$1070,2,0)</f>
        <v>BỘT GIẶT LIXE 2,4KG/06</v>
      </c>
      <c r="F433" s="4">
        <v>66000</v>
      </c>
      <c r="G433">
        <v>1</v>
      </c>
      <c r="H433" s="4">
        <v>66000</v>
      </c>
      <c r="I433" s="4">
        <v>-300</v>
      </c>
      <c r="J433" s="5">
        <f t="shared" si="6"/>
        <v>65700</v>
      </c>
    </row>
    <row r="434" spans="1:10" x14ac:dyDescent="0.25">
      <c r="A434" s="6">
        <v>436</v>
      </c>
      <c r="B434" t="s">
        <v>1785</v>
      </c>
      <c r="C434" t="s">
        <v>515</v>
      </c>
      <c r="D434" t="s">
        <v>9</v>
      </c>
      <c r="E434" t="str">
        <f>VLOOKUP(D434,'Tên SP'!B$2:C$1070,2,0)</f>
        <v>NƯỚC GIẶT LIX ĐẬM ĐẶC 3,5KG/T04 TÚI</v>
      </c>
      <c r="F434" s="4">
        <v>88000</v>
      </c>
      <c r="G434">
        <v>1</v>
      </c>
      <c r="H434" s="4">
        <v>88000</v>
      </c>
      <c r="I434" s="4">
        <v>-350</v>
      </c>
      <c r="J434" s="5">
        <f t="shared" si="6"/>
        <v>87650</v>
      </c>
    </row>
    <row r="435" spans="1:10" x14ac:dyDescent="0.25">
      <c r="A435" s="6">
        <v>437</v>
      </c>
      <c r="B435" t="s">
        <v>1786</v>
      </c>
      <c r="C435" t="s">
        <v>516</v>
      </c>
      <c r="D435" t="s">
        <v>9</v>
      </c>
      <c r="E435" t="str">
        <f>VLOOKUP(D435,'Tên SP'!B$2:C$1070,2,0)</f>
        <v>NƯỚC GIẶT LIX ĐẬM ĐẶC 3,5KG/T04 TÚI</v>
      </c>
      <c r="F435" s="4">
        <v>88000</v>
      </c>
      <c r="G435">
        <v>1</v>
      </c>
      <c r="H435" s="4">
        <v>88000</v>
      </c>
      <c r="I435" s="4">
        <v>-550</v>
      </c>
      <c r="J435" s="5">
        <f t="shared" si="6"/>
        <v>87450</v>
      </c>
    </row>
    <row r="436" spans="1:10" x14ac:dyDescent="0.25">
      <c r="A436" s="6">
        <v>438</v>
      </c>
      <c r="B436" t="s">
        <v>1787</v>
      </c>
      <c r="C436" t="s">
        <v>517</v>
      </c>
      <c r="D436" t="s">
        <v>9</v>
      </c>
      <c r="E436" t="str">
        <f>VLOOKUP(D436,'Tên SP'!B$2:C$1070,2,0)</f>
        <v>NƯỚC GIẶT LIX ĐẬM ĐẶC 3,5KG/T04 TÚI</v>
      </c>
      <c r="F436" s="4">
        <v>88000</v>
      </c>
      <c r="G436">
        <v>1</v>
      </c>
      <c r="H436" s="4">
        <v>88000</v>
      </c>
      <c r="I436" s="4">
        <v>-5213</v>
      </c>
      <c r="J436" s="5">
        <f t="shared" si="6"/>
        <v>82787</v>
      </c>
    </row>
    <row r="437" spans="1:10" x14ac:dyDescent="0.25">
      <c r="A437" s="6">
        <v>439</v>
      </c>
      <c r="B437" t="s">
        <v>1787</v>
      </c>
      <c r="C437" t="s">
        <v>517</v>
      </c>
      <c r="D437" t="s">
        <v>9</v>
      </c>
      <c r="E437" t="str">
        <f>VLOOKUP(D437,'Tên SP'!B$2:C$1070,2,0)</f>
        <v>NƯỚC GIẶT LIX ĐẬM ĐẶC 3,5KG/T04 TÚI</v>
      </c>
      <c r="F437" s="4">
        <v>88000</v>
      </c>
      <c r="G437">
        <v>1</v>
      </c>
      <c r="H437" s="4">
        <v>88000</v>
      </c>
      <c r="I437" s="4">
        <v>-5212</v>
      </c>
      <c r="J437" s="5">
        <f t="shared" si="6"/>
        <v>82788</v>
      </c>
    </row>
    <row r="438" spans="1:10" x14ac:dyDescent="0.25">
      <c r="A438" s="6">
        <v>440</v>
      </c>
      <c r="B438" t="s">
        <v>1788</v>
      </c>
      <c r="C438" t="s">
        <v>518</v>
      </c>
      <c r="D438" t="s">
        <v>9</v>
      </c>
      <c r="E438" t="str">
        <f>VLOOKUP(D438,'Tên SP'!B$2:C$1070,2,0)</f>
        <v>NƯỚC GIẶT LIX ĐẬM ĐẶC 3,5KG/T04 TÚI</v>
      </c>
      <c r="F438" s="4">
        <v>88000</v>
      </c>
      <c r="G438">
        <v>1</v>
      </c>
      <c r="H438" s="4">
        <v>88000</v>
      </c>
      <c r="I438" s="4">
        <v>-10850</v>
      </c>
      <c r="J438" s="5">
        <f t="shared" si="6"/>
        <v>77150</v>
      </c>
    </row>
    <row r="439" spans="1:10" x14ac:dyDescent="0.25">
      <c r="A439" s="6">
        <v>441</v>
      </c>
      <c r="B439" t="s">
        <v>1789</v>
      </c>
      <c r="C439" t="s">
        <v>519</v>
      </c>
      <c r="D439" t="s">
        <v>23</v>
      </c>
      <c r="E439" t="str">
        <f>VLOOKUP(D439,'Tên SP'!B$2:C$1070,2,0)</f>
        <v>NƯỚC XẢ VẢI LIXSOFT 3,6L/C04</v>
      </c>
      <c r="F439" s="4">
        <v>89000</v>
      </c>
      <c r="G439">
        <v>1</v>
      </c>
      <c r="H439" s="4">
        <v>89000</v>
      </c>
      <c r="I439" s="4">
        <v>-10300</v>
      </c>
      <c r="J439" s="5">
        <f t="shared" si="6"/>
        <v>78700</v>
      </c>
    </row>
    <row r="440" spans="1:10" x14ac:dyDescent="0.25">
      <c r="A440" s="6">
        <v>442</v>
      </c>
      <c r="B440" t="s">
        <v>1790</v>
      </c>
      <c r="C440" t="s">
        <v>520</v>
      </c>
      <c r="D440" t="s">
        <v>106</v>
      </c>
      <c r="E440" t="str">
        <f>VLOOKUP(D440,'Tên SP'!B$2:C$1070,2,0)</f>
        <v>NƯỚC GIẶT LIX SIÊU SẠCH HOA ANH ĐÀO 2.4KG/T06</v>
      </c>
      <c r="F440" s="4">
        <v>65400</v>
      </c>
      <c r="G440">
        <v>1</v>
      </c>
      <c r="H440" s="4">
        <v>65400</v>
      </c>
      <c r="I440" s="4">
        <v>-10010</v>
      </c>
      <c r="J440" s="5">
        <f t="shared" si="6"/>
        <v>55390</v>
      </c>
    </row>
    <row r="441" spans="1:10" x14ac:dyDescent="0.25">
      <c r="A441" s="6">
        <v>443</v>
      </c>
      <c r="B441" t="s">
        <v>1791</v>
      </c>
      <c r="C441" t="s">
        <v>521</v>
      </c>
      <c r="D441" t="s">
        <v>102</v>
      </c>
      <c r="E441" t="str">
        <f>VLOOKUP(D441,'Tên SP'!B$2:C$1070,2,0)</f>
        <v>NƯỚC GIẶT LIX HƯƠNG NƯỚC HOA 3,5KG/T04 TÚI</v>
      </c>
      <c r="F441" s="4">
        <v>95100</v>
      </c>
      <c r="G441">
        <v>1</v>
      </c>
      <c r="H441" s="4">
        <v>95100</v>
      </c>
      <c r="I441" s="4">
        <v>-100</v>
      </c>
      <c r="J441" s="5">
        <f t="shared" si="6"/>
        <v>95000</v>
      </c>
    </row>
    <row r="442" spans="1:10" x14ac:dyDescent="0.25">
      <c r="A442" s="6">
        <v>444</v>
      </c>
      <c r="B442" t="s">
        <v>1792</v>
      </c>
      <c r="C442" t="s">
        <v>522</v>
      </c>
      <c r="D442" t="s">
        <v>9</v>
      </c>
      <c r="E442" t="str">
        <f>VLOOKUP(D442,'Tên SP'!B$2:C$1070,2,0)</f>
        <v>NƯỚC GIẶT LIX ĐẬM ĐẶC 3,5KG/T04 TÚI</v>
      </c>
      <c r="F442" s="4">
        <v>88000</v>
      </c>
      <c r="G442">
        <v>1</v>
      </c>
      <c r="H442" s="4">
        <v>88000</v>
      </c>
      <c r="I442" s="4">
        <v>-625</v>
      </c>
      <c r="J442" s="5">
        <f t="shared" si="6"/>
        <v>87375</v>
      </c>
    </row>
    <row r="443" spans="1:10" x14ac:dyDescent="0.25">
      <c r="A443" s="6">
        <v>445</v>
      </c>
      <c r="B443" t="s">
        <v>1792</v>
      </c>
      <c r="C443" t="s">
        <v>522</v>
      </c>
      <c r="D443" t="s">
        <v>9</v>
      </c>
      <c r="E443" t="str">
        <f>VLOOKUP(D443,'Tên SP'!B$2:C$1070,2,0)</f>
        <v>NƯỚC GIẶT LIX ĐẬM ĐẶC 3,5KG/T04 TÚI</v>
      </c>
      <c r="F443" s="4">
        <v>88000</v>
      </c>
      <c r="G443">
        <v>1</v>
      </c>
      <c r="H443" s="4">
        <v>88000</v>
      </c>
      <c r="I443" s="4">
        <v>-625</v>
      </c>
      <c r="J443" s="5">
        <f t="shared" si="6"/>
        <v>87375</v>
      </c>
    </row>
    <row r="444" spans="1:10" x14ac:dyDescent="0.25">
      <c r="A444" s="6">
        <v>446</v>
      </c>
      <c r="B444" t="s">
        <v>1793</v>
      </c>
      <c r="C444" t="s">
        <v>523</v>
      </c>
      <c r="D444" t="s">
        <v>100</v>
      </c>
      <c r="E444" t="str">
        <f>VLOOKUP(D444,'Tên SP'!B$2:C$1070,2,0)</f>
        <v>NƯỚC GIẶT LIX HƯƠNG NƯỚC HOA 3,6KG/C04</v>
      </c>
      <c r="F444" s="4">
        <v>116400</v>
      </c>
      <c r="G444">
        <v>1</v>
      </c>
      <c r="H444" s="4">
        <v>116400</v>
      </c>
      <c r="I444" s="4">
        <v>-10000</v>
      </c>
      <c r="J444" s="5">
        <f t="shared" si="6"/>
        <v>106400</v>
      </c>
    </row>
    <row r="445" spans="1:10" x14ac:dyDescent="0.25">
      <c r="A445" s="6">
        <v>447</v>
      </c>
      <c r="B445" t="s">
        <v>1794</v>
      </c>
      <c r="C445" t="s">
        <v>524</v>
      </c>
      <c r="D445" t="s">
        <v>9</v>
      </c>
      <c r="E445" t="str">
        <f>VLOOKUP(D445,'Tên SP'!B$2:C$1070,2,0)</f>
        <v>NƯỚC GIẶT LIX ĐẬM ĐẶC 3,5KG/T04 TÚI</v>
      </c>
      <c r="F445" s="4">
        <v>88000</v>
      </c>
      <c r="G445">
        <v>1</v>
      </c>
      <c r="H445" s="4">
        <v>88000</v>
      </c>
      <c r="I445" s="4">
        <v>-4225</v>
      </c>
      <c r="J445" s="5">
        <f t="shared" si="6"/>
        <v>83775</v>
      </c>
    </row>
    <row r="446" spans="1:10" x14ac:dyDescent="0.25">
      <c r="A446" s="6">
        <v>448</v>
      </c>
      <c r="B446" t="s">
        <v>1794</v>
      </c>
      <c r="C446" t="s">
        <v>524</v>
      </c>
      <c r="D446" t="s">
        <v>9</v>
      </c>
      <c r="E446" t="str">
        <f>VLOOKUP(D446,'Tên SP'!B$2:C$1070,2,0)</f>
        <v>NƯỚC GIẶT LIX ĐẬM ĐẶC 3,5KG/T04 TÚI</v>
      </c>
      <c r="F446" s="4">
        <v>88000</v>
      </c>
      <c r="G446">
        <v>1</v>
      </c>
      <c r="H446" s="4">
        <v>88000</v>
      </c>
      <c r="I446" s="4">
        <v>-4225</v>
      </c>
      <c r="J446" s="5">
        <f t="shared" si="6"/>
        <v>83775</v>
      </c>
    </row>
    <row r="447" spans="1:10" x14ac:dyDescent="0.25">
      <c r="A447" s="6">
        <v>449</v>
      </c>
      <c r="B447" t="s">
        <v>1795</v>
      </c>
      <c r="C447" t="s">
        <v>525</v>
      </c>
      <c r="D447" t="s">
        <v>9</v>
      </c>
      <c r="E447" t="str">
        <f>VLOOKUP(D447,'Tên SP'!B$2:C$1070,2,0)</f>
        <v>NƯỚC GIẶT LIX ĐẬM ĐẶC 3,5KG/T04 TÚI</v>
      </c>
      <c r="F447" s="4">
        <v>88000</v>
      </c>
      <c r="G447">
        <v>1</v>
      </c>
      <c r="H447" s="4">
        <v>88000</v>
      </c>
      <c r="I447" s="4">
        <v>-4050</v>
      </c>
      <c r="J447" s="5">
        <f t="shared" si="6"/>
        <v>83950</v>
      </c>
    </row>
    <row r="448" spans="1:10" x14ac:dyDescent="0.25">
      <c r="A448" s="6">
        <v>450</v>
      </c>
      <c r="B448" t="s">
        <v>1795</v>
      </c>
      <c r="C448" t="s">
        <v>525</v>
      </c>
      <c r="D448" t="s">
        <v>9</v>
      </c>
      <c r="E448" t="str">
        <f>VLOOKUP(D448,'Tên SP'!B$2:C$1070,2,0)</f>
        <v>NƯỚC GIẶT LIX ĐẬM ĐẶC 3,5KG/T04 TÚI</v>
      </c>
      <c r="F448" s="4">
        <v>88000</v>
      </c>
      <c r="G448">
        <v>1</v>
      </c>
      <c r="H448" s="4">
        <v>88000</v>
      </c>
      <c r="I448" s="4">
        <v>-4050</v>
      </c>
      <c r="J448" s="5">
        <f t="shared" ref="J448:J506" si="7">H448+I448</f>
        <v>83950</v>
      </c>
    </row>
    <row r="449" spans="1:10" x14ac:dyDescent="0.25">
      <c r="A449" s="6">
        <v>451</v>
      </c>
      <c r="B449" t="s">
        <v>1796</v>
      </c>
      <c r="C449" t="s">
        <v>526</v>
      </c>
      <c r="D449" t="s">
        <v>85</v>
      </c>
      <c r="E449" t="str">
        <f>VLOOKUP(D449,'Tên SP'!B$2:C$1070,2,0)</f>
        <v>NƯỚC RỬA CHÉN SIÊU SẠCH TRÀ 3,6KG/C04</v>
      </c>
      <c r="F449" s="4">
        <v>72100</v>
      </c>
      <c r="G449">
        <v>1</v>
      </c>
      <c r="H449" s="4">
        <v>72100</v>
      </c>
      <c r="I449" s="4">
        <v>0</v>
      </c>
      <c r="J449" s="5">
        <f t="shared" si="7"/>
        <v>72100</v>
      </c>
    </row>
    <row r="450" spans="1:10" x14ac:dyDescent="0.25">
      <c r="A450" s="6">
        <v>452</v>
      </c>
      <c r="B450" t="s">
        <v>1797</v>
      </c>
      <c r="C450" t="s">
        <v>527</v>
      </c>
      <c r="D450" t="s">
        <v>9</v>
      </c>
      <c r="E450" t="str">
        <f>VLOOKUP(D450,'Tên SP'!B$2:C$1070,2,0)</f>
        <v>NƯỚC GIẶT LIX ĐẬM ĐẶC 3,5KG/T04 TÚI</v>
      </c>
      <c r="F450" s="4">
        <v>88000</v>
      </c>
      <c r="G450">
        <v>1</v>
      </c>
      <c r="H450" s="4">
        <v>88000</v>
      </c>
      <c r="I450" s="4">
        <v>-500</v>
      </c>
      <c r="J450" s="5">
        <f t="shared" si="7"/>
        <v>87500</v>
      </c>
    </row>
    <row r="451" spans="1:10" x14ac:dyDescent="0.25">
      <c r="A451" s="6">
        <v>453</v>
      </c>
      <c r="B451" t="s">
        <v>1798</v>
      </c>
      <c r="C451" t="s">
        <v>528</v>
      </c>
      <c r="D451" t="s">
        <v>9</v>
      </c>
      <c r="E451" t="str">
        <f>VLOOKUP(D451,'Tên SP'!B$2:C$1070,2,0)</f>
        <v>NƯỚC GIẶT LIX ĐẬM ĐẶC 3,5KG/T04 TÚI</v>
      </c>
      <c r="F451" s="4">
        <v>88000</v>
      </c>
      <c r="G451">
        <v>1</v>
      </c>
      <c r="H451" s="4">
        <v>88000</v>
      </c>
      <c r="I451" s="4">
        <v>-100</v>
      </c>
      <c r="J451" s="5">
        <f t="shared" si="7"/>
        <v>87900</v>
      </c>
    </row>
    <row r="452" spans="1:10" x14ac:dyDescent="0.25">
      <c r="A452" s="6">
        <v>454</v>
      </c>
      <c r="B452" t="s">
        <v>1799</v>
      </c>
      <c r="C452" t="s">
        <v>529</v>
      </c>
      <c r="D452" t="s">
        <v>9</v>
      </c>
      <c r="E452" t="str">
        <f>VLOOKUP(D452,'Tên SP'!B$2:C$1070,2,0)</f>
        <v>NƯỚC GIẶT LIX ĐẬM ĐẶC 3,5KG/T04 TÚI</v>
      </c>
      <c r="F452" s="4">
        <v>88000</v>
      </c>
      <c r="G452">
        <v>1</v>
      </c>
      <c r="H452" s="4">
        <v>88000</v>
      </c>
      <c r="I452" s="4">
        <v>-100</v>
      </c>
      <c r="J452" s="5">
        <f t="shared" si="7"/>
        <v>87900</v>
      </c>
    </row>
    <row r="453" spans="1:10" x14ac:dyDescent="0.25">
      <c r="A453" s="6">
        <v>455</v>
      </c>
      <c r="B453" t="s">
        <v>1800</v>
      </c>
      <c r="C453" t="s">
        <v>530</v>
      </c>
      <c r="D453" t="s">
        <v>9</v>
      </c>
      <c r="E453" t="str">
        <f>VLOOKUP(D453,'Tên SP'!B$2:C$1070,2,0)</f>
        <v>NƯỚC GIẶT LIX ĐẬM ĐẶC 3,5KG/T04 TÚI</v>
      </c>
      <c r="F453" s="4">
        <v>88000</v>
      </c>
      <c r="G453">
        <v>1</v>
      </c>
      <c r="H453" s="4">
        <v>88000</v>
      </c>
      <c r="I453" s="4">
        <v>-10550</v>
      </c>
      <c r="J453" s="5">
        <f t="shared" si="7"/>
        <v>77450</v>
      </c>
    </row>
    <row r="454" spans="1:10" x14ac:dyDescent="0.25">
      <c r="A454" s="6">
        <v>456</v>
      </c>
      <c r="B454" t="s">
        <v>1801</v>
      </c>
      <c r="C454" t="s">
        <v>531</v>
      </c>
      <c r="D454" t="s">
        <v>9</v>
      </c>
      <c r="E454" t="str">
        <f>VLOOKUP(D454,'Tên SP'!B$2:C$1070,2,0)</f>
        <v>NƯỚC GIẶT LIX ĐẬM ĐẶC 3,5KG/T04 TÚI</v>
      </c>
      <c r="F454" s="4">
        <v>88000</v>
      </c>
      <c r="G454">
        <v>1</v>
      </c>
      <c r="H454" s="4">
        <v>88000</v>
      </c>
      <c r="I454" s="4">
        <v>0</v>
      </c>
      <c r="J454" s="5">
        <f t="shared" si="7"/>
        <v>88000</v>
      </c>
    </row>
    <row r="455" spans="1:10" x14ac:dyDescent="0.25">
      <c r="A455" s="6">
        <v>457</v>
      </c>
      <c r="B455" t="s">
        <v>1802</v>
      </c>
      <c r="C455" t="s">
        <v>532</v>
      </c>
      <c r="D455" t="s">
        <v>9</v>
      </c>
      <c r="E455" t="str">
        <f>VLOOKUP(D455,'Tên SP'!B$2:C$1070,2,0)</f>
        <v>NƯỚC GIẶT LIX ĐẬM ĐẶC 3,5KG/T04 TÚI</v>
      </c>
      <c r="F455" s="4">
        <v>88000</v>
      </c>
      <c r="G455">
        <v>1</v>
      </c>
      <c r="H455" s="4">
        <v>88000</v>
      </c>
      <c r="I455" s="4">
        <v>0</v>
      </c>
      <c r="J455" s="5">
        <f t="shared" si="7"/>
        <v>88000</v>
      </c>
    </row>
    <row r="456" spans="1:10" x14ac:dyDescent="0.25">
      <c r="A456" s="6">
        <v>458</v>
      </c>
      <c r="B456" t="s">
        <v>1803</v>
      </c>
      <c r="C456" t="s">
        <v>533</v>
      </c>
      <c r="D456" t="s">
        <v>9</v>
      </c>
      <c r="E456" t="str">
        <f>VLOOKUP(D456,'Tên SP'!B$2:C$1070,2,0)</f>
        <v>NƯỚC GIẶT LIX ĐẬM ĐẶC 3,5KG/T04 TÚI</v>
      </c>
      <c r="F456" s="4">
        <v>88000</v>
      </c>
      <c r="G456">
        <v>1</v>
      </c>
      <c r="H456" s="4">
        <v>88000</v>
      </c>
      <c r="I456" s="4">
        <v>-1320</v>
      </c>
      <c r="J456" s="5">
        <f t="shared" si="7"/>
        <v>86680</v>
      </c>
    </row>
    <row r="457" spans="1:10" x14ac:dyDescent="0.25">
      <c r="A457" s="6">
        <v>459</v>
      </c>
      <c r="B457" t="s">
        <v>1804</v>
      </c>
      <c r="C457" t="s">
        <v>534</v>
      </c>
      <c r="D457" t="s">
        <v>9</v>
      </c>
      <c r="E457" t="str">
        <f>VLOOKUP(D457,'Tên SP'!B$2:C$1070,2,0)</f>
        <v>NƯỚC GIẶT LIX ĐẬM ĐẶC 3,5KG/T04 TÚI</v>
      </c>
      <c r="F457" s="4">
        <v>88000</v>
      </c>
      <c r="G457">
        <v>1</v>
      </c>
      <c r="H457" s="4">
        <v>88000</v>
      </c>
      <c r="I457" s="4">
        <v>-100</v>
      </c>
      <c r="J457" s="5">
        <f t="shared" si="7"/>
        <v>87900</v>
      </c>
    </row>
    <row r="458" spans="1:10" x14ac:dyDescent="0.25">
      <c r="A458" s="6">
        <v>460</v>
      </c>
      <c r="B458" t="s">
        <v>1805</v>
      </c>
      <c r="C458" t="s">
        <v>535</v>
      </c>
      <c r="D458" t="s">
        <v>9</v>
      </c>
      <c r="E458" t="str">
        <f>VLOOKUP(D458,'Tên SP'!B$2:C$1070,2,0)</f>
        <v>NƯỚC GIẶT LIX ĐẬM ĐẶC 3,5KG/T04 TÚI</v>
      </c>
      <c r="F458" s="4">
        <v>88000</v>
      </c>
      <c r="G458">
        <v>1</v>
      </c>
      <c r="H458" s="4">
        <v>88000</v>
      </c>
      <c r="I458" s="4">
        <v>0</v>
      </c>
      <c r="J458" s="5">
        <f t="shared" si="7"/>
        <v>88000</v>
      </c>
    </row>
    <row r="459" spans="1:10" x14ac:dyDescent="0.25">
      <c r="A459" s="6">
        <v>461</v>
      </c>
      <c r="B459" t="s">
        <v>1806</v>
      </c>
      <c r="C459" t="s">
        <v>536</v>
      </c>
      <c r="D459" t="s">
        <v>9</v>
      </c>
      <c r="E459" t="str">
        <f>VLOOKUP(D459,'Tên SP'!B$2:C$1070,2,0)</f>
        <v>NƯỚC GIẶT LIX ĐẬM ĐẶC 3,5KG/T04 TÚI</v>
      </c>
      <c r="F459" s="4">
        <v>88000</v>
      </c>
      <c r="G459">
        <v>1</v>
      </c>
      <c r="H459" s="4">
        <v>88000</v>
      </c>
      <c r="I459" s="4">
        <v>0</v>
      </c>
      <c r="J459" s="5">
        <f t="shared" si="7"/>
        <v>88000</v>
      </c>
    </row>
    <row r="460" spans="1:10" x14ac:dyDescent="0.25">
      <c r="A460" s="6">
        <v>462</v>
      </c>
      <c r="B460" t="s">
        <v>1807</v>
      </c>
      <c r="C460" t="s">
        <v>537</v>
      </c>
      <c r="D460" t="s">
        <v>9</v>
      </c>
      <c r="E460" t="str">
        <f>VLOOKUP(D460,'Tên SP'!B$2:C$1070,2,0)</f>
        <v>NƯỚC GIẶT LIX ĐẬM ĐẶC 3,5KG/T04 TÚI</v>
      </c>
      <c r="F460" s="4">
        <v>88000</v>
      </c>
      <c r="G460">
        <v>1</v>
      </c>
      <c r="H460" s="4">
        <v>88000</v>
      </c>
      <c r="I460" s="4">
        <v>0</v>
      </c>
      <c r="J460" s="5">
        <f t="shared" si="7"/>
        <v>88000</v>
      </c>
    </row>
    <row r="461" spans="1:10" x14ac:dyDescent="0.25">
      <c r="A461" s="6">
        <v>463</v>
      </c>
      <c r="B461" t="s">
        <v>1808</v>
      </c>
      <c r="C461" t="s">
        <v>538</v>
      </c>
      <c r="D461" t="s">
        <v>9</v>
      </c>
      <c r="E461" t="str">
        <f>VLOOKUP(D461,'Tên SP'!B$2:C$1070,2,0)</f>
        <v>NƯỚC GIẶT LIX ĐẬM ĐẶC 3,5KG/T04 TÚI</v>
      </c>
      <c r="F461" s="4">
        <v>88000</v>
      </c>
      <c r="G461">
        <v>1</v>
      </c>
      <c r="H461" s="4">
        <v>88000</v>
      </c>
      <c r="I461" s="4">
        <v>-600</v>
      </c>
      <c r="J461" s="5">
        <f t="shared" si="7"/>
        <v>87400</v>
      </c>
    </row>
    <row r="462" spans="1:10" x14ac:dyDescent="0.25">
      <c r="A462" s="6">
        <v>464</v>
      </c>
      <c r="B462" t="s">
        <v>1809</v>
      </c>
      <c r="C462" t="s">
        <v>539</v>
      </c>
      <c r="D462" t="s">
        <v>9</v>
      </c>
      <c r="E462" t="str">
        <f>VLOOKUP(D462,'Tên SP'!B$2:C$1070,2,0)</f>
        <v>NƯỚC GIẶT LIX ĐẬM ĐẶC 3,5KG/T04 TÚI</v>
      </c>
      <c r="F462" s="4">
        <v>88000</v>
      </c>
      <c r="G462">
        <v>1</v>
      </c>
      <c r="H462" s="4">
        <v>88000</v>
      </c>
      <c r="I462" s="4">
        <v>-500</v>
      </c>
      <c r="J462" s="5">
        <f t="shared" si="7"/>
        <v>87500</v>
      </c>
    </row>
    <row r="463" spans="1:10" x14ac:dyDescent="0.25">
      <c r="A463" s="6">
        <v>465</v>
      </c>
      <c r="B463" t="s">
        <v>1810</v>
      </c>
      <c r="C463" t="s">
        <v>540</v>
      </c>
      <c r="D463" t="s">
        <v>9</v>
      </c>
      <c r="E463" t="str">
        <f>VLOOKUP(D463,'Tên SP'!B$2:C$1070,2,0)</f>
        <v>NƯỚC GIẶT LIX ĐẬM ĐẶC 3,5KG/T04 TÚI</v>
      </c>
      <c r="F463" s="4">
        <v>88000</v>
      </c>
      <c r="G463">
        <v>1</v>
      </c>
      <c r="H463" s="4">
        <v>88000</v>
      </c>
      <c r="I463" s="4">
        <v>-100</v>
      </c>
      <c r="J463" s="5">
        <f t="shared" si="7"/>
        <v>87900</v>
      </c>
    </row>
    <row r="464" spans="1:10" x14ac:dyDescent="0.25">
      <c r="A464" s="6">
        <v>466</v>
      </c>
      <c r="B464" t="s">
        <v>1811</v>
      </c>
      <c r="C464" t="s">
        <v>541</v>
      </c>
      <c r="D464" t="s">
        <v>9</v>
      </c>
      <c r="E464" t="str">
        <f>VLOOKUP(D464,'Tên SP'!B$2:C$1070,2,0)</f>
        <v>NƯỚC GIẶT LIX ĐẬM ĐẶC 3,5KG/T04 TÚI</v>
      </c>
      <c r="F464" s="4">
        <v>88000</v>
      </c>
      <c r="G464">
        <v>1</v>
      </c>
      <c r="H464" s="4">
        <v>88000</v>
      </c>
      <c r="I464" s="4">
        <v>-100</v>
      </c>
      <c r="J464" s="5">
        <f t="shared" si="7"/>
        <v>87900</v>
      </c>
    </row>
    <row r="465" spans="1:10" x14ac:dyDescent="0.25">
      <c r="A465" s="6">
        <v>467</v>
      </c>
      <c r="B465" t="s">
        <v>1812</v>
      </c>
      <c r="C465" t="s">
        <v>542</v>
      </c>
      <c r="D465" t="s">
        <v>9</v>
      </c>
      <c r="E465" t="str">
        <f>VLOOKUP(D465,'Tên SP'!B$2:C$1070,2,0)</f>
        <v>NƯỚC GIẶT LIX ĐẬM ĐẶC 3,5KG/T04 TÚI</v>
      </c>
      <c r="F465" s="4">
        <v>88000</v>
      </c>
      <c r="G465">
        <v>1</v>
      </c>
      <c r="H465" s="4">
        <v>88000</v>
      </c>
      <c r="I465" s="4">
        <v>0</v>
      </c>
      <c r="J465" s="5">
        <f t="shared" si="7"/>
        <v>88000</v>
      </c>
    </row>
    <row r="466" spans="1:10" x14ac:dyDescent="0.25">
      <c r="A466" s="6">
        <v>468</v>
      </c>
      <c r="B466" t="s">
        <v>1813</v>
      </c>
      <c r="C466" t="s">
        <v>543</v>
      </c>
      <c r="D466" t="s">
        <v>9</v>
      </c>
      <c r="E466" t="str">
        <f>VLOOKUP(D466,'Tên SP'!B$2:C$1070,2,0)</f>
        <v>NƯỚC GIẶT LIX ĐẬM ĐẶC 3,5KG/T04 TÚI</v>
      </c>
      <c r="F466" s="4">
        <v>88000</v>
      </c>
      <c r="G466">
        <v>1</v>
      </c>
      <c r="H466" s="4">
        <v>88000</v>
      </c>
      <c r="I466" s="4">
        <v>-10000</v>
      </c>
      <c r="J466" s="5">
        <f t="shared" si="7"/>
        <v>78000</v>
      </c>
    </row>
    <row r="467" spans="1:10" x14ac:dyDescent="0.25">
      <c r="A467" s="6">
        <v>469</v>
      </c>
      <c r="B467" t="s">
        <v>1814</v>
      </c>
      <c r="C467" t="s">
        <v>544</v>
      </c>
      <c r="D467" t="s">
        <v>9</v>
      </c>
      <c r="E467" t="str">
        <f>VLOOKUP(D467,'Tên SP'!B$2:C$1070,2,0)</f>
        <v>NƯỚC GIẶT LIX ĐẬM ĐẶC 3,5KG/T04 TÚI</v>
      </c>
      <c r="F467" s="4">
        <v>88000</v>
      </c>
      <c r="G467">
        <v>1</v>
      </c>
      <c r="H467" s="4">
        <v>88000</v>
      </c>
      <c r="I467" s="4">
        <v>-650</v>
      </c>
      <c r="J467" s="5">
        <f t="shared" si="7"/>
        <v>87350</v>
      </c>
    </row>
    <row r="468" spans="1:10" x14ac:dyDescent="0.25">
      <c r="A468" s="6">
        <v>470</v>
      </c>
      <c r="B468" t="s">
        <v>1815</v>
      </c>
      <c r="C468" t="s">
        <v>545</v>
      </c>
      <c r="D468" t="s">
        <v>106</v>
      </c>
      <c r="E468" t="str">
        <f>VLOOKUP(D468,'Tên SP'!B$2:C$1070,2,0)</f>
        <v>NƯỚC GIẶT LIX SIÊU SẠCH HOA ANH ĐÀO 2.4KG/T06</v>
      </c>
      <c r="F468" s="4">
        <v>60030</v>
      </c>
      <c r="G468">
        <v>1</v>
      </c>
      <c r="H468" s="4">
        <v>60030</v>
      </c>
      <c r="I468" s="4">
        <v>-100</v>
      </c>
      <c r="J468" s="5">
        <f t="shared" si="7"/>
        <v>59930</v>
      </c>
    </row>
    <row r="469" spans="1:10" x14ac:dyDescent="0.25">
      <c r="A469" s="6">
        <v>471</v>
      </c>
      <c r="B469" t="s">
        <v>1815</v>
      </c>
      <c r="C469" t="s">
        <v>545</v>
      </c>
      <c r="D469" t="s">
        <v>106</v>
      </c>
      <c r="E469" t="str">
        <f>VLOOKUP(D469,'Tên SP'!B$2:C$1070,2,0)</f>
        <v>NƯỚC GIẶT LIX SIÊU SẠCH HOA ANH ĐÀO 2.4KG/T06</v>
      </c>
      <c r="F469" s="4">
        <v>60030</v>
      </c>
      <c r="G469">
        <v>1</v>
      </c>
      <c r="H469" s="4">
        <v>60030</v>
      </c>
      <c r="I469" s="4">
        <v>-100</v>
      </c>
      <c r="J469" s="5">
        <f t="shared" si="7"/>
        <v>59930</v>
      </c>
    </row>
    <row r="470" spans="1:10" x14ac:dyDescent="0.25">
      <c r="A470" s="6">
        <v>472</v>
      </c>
      <c r="B470" t="s">
        <v>1816</v>
      </c>
      <c r="C470" t="s">
        <v>546</v>
      </c>
      <c r="D470" t="s">
        <v>44</v>
      </c>
      <c r="E470" t="str">
        <f>VLOOKUP(D470,'Tên SP'!B$2:C$1070,2,0)</f>
        <v>BỘT GIẶT LIXE CHANH 5,5KG/03</v>
      </c>
      <c r="F470" s="4">
        <v>126150</v>
      </c>
      <c r="G470">
        <v>1</v>
      </c>
      <c r="H470" s="4">
        <v>126150</v>
      </c>
      <c r="I470" s="4">
        <v>-6770</v>
      </c>
      <c r="J470" s="5">
        <f t="shared" si="7"/>
        <v>119380</v>
      </c>
    </row>
    <row r="471" spans="1:10" x14ac:dyDescent="0.25">
      <c r="A471" s="6">
        <v>473</v>
      </c>
      <c r="B471" t="s">
        <v>1816</v>
      </c>
      <c r="C471" t="s">
        <v>546</v>
      </c>
      <c r="D471" t="s">
        <v>44</v>
      </c>
      <c r="E471" t="str">
        <f>VLOOKUP(D471,'Tên SP'!B$2:C$1070,2,0)</f>
        <v>BỘT GIẶT LIXE CHANH 5,5KG/03</v>
      </c>
      <c r="F471" s="4">
        <v>126150</v>
      </c>
      <c r="G471">
        <v>1</v>
      </c>
      <c r="H471" s="4">
        <v>126150</v>
      </c>
      <c r="I471" s="4">
        <v>-6771</v>
      </c>
      <c r="J471" s="5">
        <f t="shared" si="7"/>
        <v>119379</v>
      </c>
    </row>
    <row r="472" spans="1:10" x14ac:dyDescent="0.25">
      <c r="A472" s="6">
        <v>474</v>
      </c>
      <c r="B472" t="s">
        <v>1816</v>
      </c>
      <c r="C472" t="s">
        <v>546</v>
      </c>
      <c r="D472" t="s">
        <v>44</v>
      </c>
      <c r="E472" t="str">
        <f>VLOOKUP(D472,'Tên SP'!B$2:C$1070,2,0)</f>
        <v>BỘT GIẶT LIXE CHANH 5,5KG/03</v>
      </c>
      <c r="F472" s="4">
        <v>126150</v>
      </c>
      <c r="G472">
        <v>1</v>
      </c>
      <c r="H472" s="4">
        <v>126150</v>
      </c>
      <c r="I472" s="4">
        <v>-6769</v>
      </c>
      <c r="J472" s="5">
        <f t="shared" si="7"/>
        <v>119381</v>
      </c>
    </row>
    <row r="473" spans="1:10" x14ac:dyDescent="0.25">
      <c r="A473" s="6">
        <v>475</v>
      </c>
      <c r="B473" t="s">
        <v>1817</v>
      </c>
      <c r="C473" t="s">
        <v>547</v>
      </c>
      <c r="D473" t="s">
        <v>102</v>
      </c>
      <c r="E473" t="str">
        <f>VLOOKUP(D473,'Tên SP'!B$2:C$1070,2,0)</f>
        <v>NƯỚC GIẶT LIX HƯƠNG NƯỚC HOA 3,5KG/T04 TÚI</v>
      </c>
      <c r="F473" s="4">
        <v>95100</v>
      </c>
      <c r="G473">
        <v>1</v>
      </c>
      <c r="H473" s="4">
        <v>95100</v>
      </c>
      <c r="I473" s="4">
        <v>-5482</v>
      </c>
      <c r="J473" s="5">
        <f t="shared" si="7"/>
        <v>89618</v>
      </c>
    </row>
    <row r="474" spans="1:10" x14ac:dyDescent="0.25">
      <c r="A474" s="6">
        <v>476</v>
      </c>
      <c r="B474" t="s">
        <v>1817</v>
      </c>
      <c r="C474" t="s">
        <v>547</v>
      </c>
      <c r="D474" t="s">
        <v>104</v>
      </c>
      <c r="E474" t="str">
        <f>VLOOKUP(D474,'Tên SP'!B$2:C$1070,2,0)</f>
        <v>NƯỚC GIẶT LIX ĐẬM ĐẶC 2KG/C06</v>
      </c>
      <c r="F474" s="4">
        <v>66000</v>
      </c>
      <c r="G474">
        <v>1</v>
      </c>
      <c r="H474" s="4">
        <v>66000</v>
      </c>
      <c r="I474" s="4">
        <v>-3666</v>
      </c>
      <c r="J474" s="5">
        <f t="shared" si="7"/>
        <v>62334</v>
      </c>
    </row>
    <row r="475" spans="1:10" x14ac:dyDescent="0.25">
      <c r="A475" s="6">
        <v>477</v>
      </c>
      <c r="B475" t="s">
        <v>1817</v>
      </c>
      <c r="C475" t="s">
        <v>547</v>
      </c>
      <c r="D475" t="s">
        <v>108</v>
      </c>
      <c r="E475" t="str">
        <f>VLOOKUP(D475,'Tên SP'!B$2:C$1070,2,0)</f>
        <v>NƯỚC GIẶT LIX SIÊU SẠCH HOA ANH ĐÀO 3.5KG/C04</v>
      </c>
      <c r="F475" s="4">
        <v>111000</v>
      </c>
      <c r="G475">
        <v>1</v>
      </c>
      <c r="H475" s="4">
        <v>111000</v>
      </c>
      <c r="I475" s="4">
        <v>-6165</v>
      </c>
      <c r="J475" s="5">
        <f t="shared" si="7"/>
        <v>104835</v>
      </c>
    </row>
    <row r="476" spans="1:10" x14ac:dyDescent="0.25">
      <c r="A476" s="6">
        <v>478</v>
      </c>
      <c r="B476" t="s">
        <v>1817</v>
      </c>
      <c r="C476" t="s">
        <v>547</v>
      </c>
      <c r="D476" t="s">
        <v>9</v>
      </c>
      <c r="E476" t="str">
        <f>VLOOKUP(D476,'Tên SP'!B$2:C$1070,2,0)</f>
        <v>NƯỚC GIẶT LIX ĐẬM ĐẶC 3,5KG/T04 TÚI</v>
      </c>
      <c r="F476" s="4">
        <v>88000</v>
      </c>
      <c r="G476">
        <v>1</v>
      </c>
      <c r="H476" s="4">
        <v>88000</v>
      </c>
      <c r="I476" s="4">
        <v>-4887</v>
      </c>
      <c r="J476" s="5">
        <f t="shared" si="7"/>
        <v>83113</v>
      </c>
    </row>
    <row r="477" spans="1:10" x14ac:dyDescent="0.25">
      <c r="A477" s="6">
        <v>479</v>
      </c>
      <c r="B477" t="s">
        <v>1818</v>
      </c>
      <c r="C477" t="s">
        <v>548</v>
      </c>
      <c r="D477" t="s">
        <v>9</v>
      </c>
      <c r="E477" t="str">
        <f>VLOOKUP(D477,'Tên SP'!B$2:C$1070,2,0)</f>
        <v>NƯỚC GIẶT LIX ĐẬM ĐẶC 3,5KG/T04 TÚI</v>
      </c>
      <c r="F477" s="4">
        <v>88000</v>
      </c>
      <c r="G477">
        <v>1</v>
      </c>
      <c r="H477" s="4">
        <v>88000</v>
      </c>
      <c r="I477" s="4">
        <v>-100</v>
      </c>
      <c r="J477" s="5">
        <f t="shared" si="7"/>
        <v>87900</v>
      </c>
    </row>
    <row r="478" spans="1:10" x14ac:dyDescent="0.25">
      <c r="A478" s="6">
        <v>480</v>
      </c>
      <c r="B478" t="s">
        <v>1819</v>
      </c>
      <c r="C478" t="s">
        <v>549</v>
      </c>
      <c r="D478" t="s">
        <v>9</v>
      </c>
      <c r="E478" t="str">
        <f>VLOOKUP(D478,'Tên SP'!B$2:C$1070,2,0)</f>
        <v>NƯỚC GIẶT LIX ĐẬM ĐẶC 3,5KG/T04 TÚI</v>
      </c>
      <c r="F478" s="4">
        <v>88000</v>
      </c>
      <c r="G478">
        <v>1</v>
      </c>
      <c r="H478" s="4">
        <v>88000</v>
      </c>
      <c r="I478" s="4">
        <v>-10000</v>
      </c>
      <c r="J478" s="5">
        <f t="shared" si="7"/>
        <v>78000</v>
      </c>
    </row>
    <row r="479" spans="1:10" x14ac:dyDescent="0.25">
      <c r="A479" s="6">
        <v>481</v>
      </c>
      <c r="B479" t="s">
        <v>1820</v>
      </c>
      <c r="C479" t="s">
        <v>550</v>
      </c>
      <c r="D479" t="s">
        <v>9</v>
      </c>
      <c r="E479" t="str">
        <f>VLOOKUP(D479,'Tên SP'!B$2:C$1070,2,0)</f>
        <v>NƯỚC GIẶT LIX ĐẬM ĐẶC 3,5KG/T04 TÚI</v>
      </c>
      <c r="F479" s="4">
        <v>88000</v>
      </c>
      <c r="G479">
        <v>1</v>
      </c>
      <c r="H479" s="4">
        <v>88000</v>
      </c>
      <c r="I479" s="4">
        <v>-10000</v>
      </c>
      <c r="J479" s="5">
        <f t="shared" si="7"/>
        <v>78000</v>
      </c>
    </row>
    <row r="480" spans="1:10" x14ac:dyDescent="0.25">
      <c r="A480" s="6">
        <v>482</v>
      </c>
      <c r="B480" t="s">
        <v>1821</v>
      </c>
      <c r="C480" t="s">
        <v>551</v>
      </c>
      <c r="D480" t="s">
        <v>9</v>
      </c>
      <c r="E480" t="str">
        <f>VLOOKUP(D480,'Tên SP'!B$2:C$1070,2,0)</f>
        <v>NƯỚC GIẶT LIX ĐẬM ĐẶC 3,5KG/T04 TÚI</v>
      </c>
      <c r="F480" s="4">
        <v>88000</v>
      </c>
      <c r="G480">
        <v>1</v>
      </c>
      <c r="H480" s="4">
        <v>88000</v>
      </c>
      <c r="I480" s="4">
        <v>0</v>
      </c>
      <c r="J480" s="5">
        <f t="shared" si="7"/>
        <v>88000</v>
      </c>
    </row>
    <row r="481" spans="1:10" x14ac:dyDescent="0.25">
      <c r="A481" s="6">
        <v>483</v>
      </c>
      <c r="B481" t="s">
        <v>1822</v>
      </c>
      <c r="C481" t="s">
        <v>552</v>
      </c>
      <c r="D481" t="s">
        <v>89</v>
      </c>
      <c r="E481" t="str">
        <f>VLOOKUP(D481,'Tên SP'!B$2:C$1070,2,0)</f>
        <v>NƯỚC RỬA CHÉN SIÊU SẠCH TRÀ 750G/CH12</v>
      </c>
      <c r="F481" s="4">
        <v>19000</v>
      </c>
      <c r="G481">
        <v>1</v>
      </c>
      <c r="H481" s="4">
        <v>19000</v>
      </c>
      <c r="I481" s="4">
        <v>-15626</v>
      </c>
      <c r="J481" s="5">
        <f t="shared" si="7"/>
        <v>3374</v>
      </c>
    </row>
    <row r="482" spans="1:10" x14ac:dyDescent="0.25">
      <c r="A482" s="6">
        <v>484</v>
      </c>
      <c r="B482" t="s">
        <v>1822</v>
      </c>
      <c r="C482" t="s">
        <v>552</v>
      </c>
      <c r="D482" t="s">
        <v>9</v>
      </c>
      <c r="E482" t="str">
        <f>VLOOKUP(D482,'Tên SP'!B$2:C$1070,2,0)</f>
        <v>NƯỚC GIẶT LIX ĐẬM ĐẶC 3,5KG/T04 TÚI</v>
      </c>
      <c r="F482" s="4">
        <v>88000</v>
      </c>
      <c r="G482">
        <v>1</v>
      </c>
      <c r="H482" s="4">
        <v>88000</v>
      </c>
      <c r="I482" s="4">
        <v>-72374</v>
      </c>
      <c r="J482" s="5">
        <f t="shared" si="7"/>
        <v>15626</v>
      </c>
    </row>
    <row r="483" spans="1:10" x14ac:dyDescent="0.25">
      <c r="A483" s="6">
        <v>485</v>
      </c>
      <c r="B483" t="s">
        <v>1823</v>
      </c>
      <c r="C483" t="s">
        <v>553</v>
      </c>
      <c r="D483" t="s">
        <v>9</v>
      </c>
      <c r="E483" t="str">
        <f>VLOOKUP(D483,'Tên SP'!B$2:C$1070,2,0)</f>
        <v>NƯỚC GIẶT LIX ĐẬM ĐẶC 3,5KG/T04 TÚI</v>
      </c>
      <c r="F483" s="4">
        <v>88000</v>
      </c>
      <c r="G483">
        <v>1</v>
      </c>
      <c r="H483" s="4">
        <v>88000</v>
      </c>
      <c r="I483" s="4">
        <v>-9760</v>
      </c>
      <c r="J483" s="5">
        <f t="shared" si="7"/>
        <v>78240</v>
      </c>
    </row>
    <row r="484" spans="1:10" x14ac:dyDescent="0.25">
      <c r="A484" s="6">
        <v>486</v>
      </c>
      <c r="B484" t="s">
        <v>1824</v>
      </c>
      <c r="C484" t="s">
        <v>554</v>
      </c>
      <c r="D484" t="s">
        <v>9</v>
      </c>
      <c r="E484" t="str">
        <f>VLOOKUP(D484,'Tên SP'!B$2:C$1070,2,0)</f>
        <v>NƯỚC GIẶT LIX ĐẬM ĐẶC 3,5KG/T04 TÚI</v>
      </c>
      <c r="F484" s="4">
        <v>88000</v>
      </c>
      <c r="G484">
        <v>1</v>
      </c>
      <c r="H484" s="4">
        <v>88000</v>
      </c>
      <c r="I484" s="4">
        <v>-8000</v>
      </c>
      <c r="J484" s="5">
        <f t="shared" si="7"/>
        <v>80000</v>
      </c>
    </row>
    <row r="485" spans="1:10" x14ac:dyDescent="0.25">
      <c r="A485" s="6">
        <v>487</v>
      </c>
      <c r="B485" t="s">
        <v>1824</v>
      </c>
      <c r="C485" t="s">
        <v>555</v>
      </c>
      <c r="D485" t="s">
        <v>9</v>
      </c>
      <c r="E485" t="str">
        <f>VLOOKUP(D485,'Tên SP'!B$2:C$1070,2,0)</f>
        <v>NƯỚC GIẶT LIX ĐẬM ĐẶC 3,5KG/T04 TÚI</v>
      </c>
      <c r="F485" s="4">
        <v>88000</v>
      </c>
      <c r="G485">
        <v>1</v>
      </c>
      <c r="H485" s="4">
        <v>88000</v>
      </c>
      <c r="I485" s="4">
        <v>-9760</v>
      </c>
      <c r="J485" s="5">
        <f t="shared" si="7"/>
        <v>78240</v>
      </c>
    </row>
    <row r="486" spans="1:10" x14ac:dyDescent="0.25">
      <c r="A486" s="6">
        <v>488</v>
      </c>
      <c r="B486" t="s">
        <v>1825</v>
      </c>
      <c r="C486" t="s">
        <v>556</v>
      </c>
      <c r="D486" t="s">
        <v>9</v>
      </c>
      <c r="E486" t="str">
        <f>VLOOKUP(D486,'Tên SP'!B$2:C$1070,2,0)</f>
        <v>NƯỚC GIẶT LIX ĐẬM ĐẶC 3,5KG/T04 TÚI</v>
      </c>
      <c r="F486" s="4">
        <v>88000</v>
      </c>
      <c r="G486">
        <v>1</v>
      </c>
      <c r="H486" s="4">
        <v>88000</v>
      </c>
      <c r="I486" s="4">
        <v>-8000</v>
      </c>
      <c r="J486" s="5">
        <f t="shared" si="7"/>
        <v>80000</v>
      </c>
    </row>
    <row r="487" spans="1:10" x14ac:dyDescent="0.25">
      <c r="A487" s="6">
        <v>489</v>
      </c>
      <c r="B487" t="s">
        <v>1826</v>
      </c>
      <c r="C487" t="s">
        <v>557</v>
      </c>
      <c r="D487" t="s">
        <v>9</v>
      </c>
      <c r="E487" t="str">
        <f>VLOOKUP(D487,'Tên SP'!B$2:C$1070,2,0)</f>
        <v>NƯỚC GIẶT LIX ĐẬM ĐẶC 3,5KG/T04 TÚI</v>
      </c>
      <c r="F487" s="4">
        <v>88000</v>
      </c>
      <c r="G487">
        <v>1</v>
      </c>
      <c r="H487" s="4">
        <v>88000</v>
      </c>
      <c r="I487" s="4">
        <v>-10000</v>
      </c>
      <c r="J487" s="5">
        <f t="shared" si="7"/>
        <v>78000</v>
      </c>
    </row>
    <row r="488" spans="1:10" x14ac:dyDescent="0.25">
      <c r="A488" s="6">
        <v>490</v>
      </c>
      <c r="B488" t="s">
        <v>1827</v>
      </c>
      <c r="C488" t="s">
        <v>558</v>
      </c>
      <c r="D488" t="s">
        <v>9</v>
      </c>
      <c r="E488" t="str">
        <f>VLOOKUP(D488,'Tên SP'!B$2:C$1070,2,0)</f>
        <v>NƯỚC GIẶT LIX ĐẬM ĐẶC 3,5KG/T04 TÚI</v>
      </c>
      <c r="F488" s="4">
        <v>88000</v>
      </c>
      <c r="G488">
        <v>1</v>
      </c>
      <c r="H488" s="4">
        <v>88000</v>
      </c>
      <c r="I488" s="4">
        <v>-8500</v>
      </c>
      <c r="J488" s="5">
        <f t="shared" si="7"/>
        <v>79500</v>
      </c>
    </row>
    <row r="489" spans="1:10" x14ac:dyDescent="0.25">
      <c r="A489" s="6">
        <v>496</v>
      </c>
      <c r="B489" t="s">
        <v>1828</v>
      </c>
      <c r="C489" t="s">
        <v>559</v>
      </c>
      <c r="D489" t="s">
        <v>106</v>
      </c>
      <c r="E489" t="str">
        <f>VLOOKUP(D489,'Tên SP'!B$2:C$1070,2,0)</f>
        <v>NƯỚC GIẶT LIX SIÊU SẠCH HOA ANH ĐÀO 2.4KG/T06</v>
      </c>
      <c r="F489" s="4">
        <v>67200</v>
      </c>
      <c r="G489">
        <v>1</v>
      </c>
      <c r="H489" s="4">
        <v>67200</v>
      </c>
      <c r="I489" s="4">
        <v>-11344</v>
      </c>
      <c r="J489" s="5">
        <f t="shared" si="7"/>
        <v>55856</v>
      </c>
    </row>
    <row r="490" spans="1:10" x14ac:dyDescent="0.25">
      <c r="A490" s="6">
        <v>497</v>
      </c>
      <c r="B490" t="s">
        <v>1829</v>
      </c>
      <c r="C490" t="s">
        <v>560</v>
      </c>
      <c r="D490" t="s">
        <v>71</v>
      </c>
      <c r="E490" t="str">
        <f>VLOOKUP(D490,'Tên SP'!B$2:C$1070,2,0)</f>
        <v>NƯỚC RỬA CHÉN SIÊU SẠCH CHANH 3,5KG/T04- TÚI</v>
      </c>
      <c r="F490" s="4">
        <v>70000</v>
      </c>
      <c r="G490">
        <v>1</v>
      </c>
      <c r="H490" s="4">
        <v>70000</v>
      </c>
      <c r="I490" s="4">
        <v>-450</v>
      </c>
      <c r="J490" s="5">
        <f t="shared" si="7"/>
        <v>69550</v>
      </c>
    </row>
    <row r="491" spans="1:10" x14ac:dyDescent="0.25">
      <c r="A491" s="6">
        <v>498</v>
      </c>
      <c r="B491" t="s">
        <v>1830</v>
      </c>
      <c r="C491" t="s">
        <v>561</v>
      </c>
      <c r="D491" t="s">
        <v>71</v>
      </c>
      <c r="E491" t="str">
        <f>VLOOKUP(D491,'Tên SP'!B$2:C$1070,2,0)</f>
        <v>NƯỚC RỬA CHÉN SIÊU SẠCH CHANH 3,5KG/T04- TÚI</v>
      </c>
      <c r="F491" s="4">
        <v>70000</v>
      </c>
      <c r="G491">
        <v>1</v>
      </c>
      <c r="H491" s="4">
        <v>70000</v>
      </c>
      <c r="I491" s="4">
        <v>-250</v>
      </c>
      <c r="J491" s="5">
        <f t="shared" si="7"/>
        <v>69750</v>
      </c>
    </row>
    <row r="492" spans="1:10" x14ac:dyDescent="0.25">
      <c r="A492" s="6">
        <v>499</v>
      </c>
      <c r="B492" t="s">
        <v>1831</v>
      </c>
      <c r="C492" t="s">
        <v>562</v>
      </c>
      <c r="D492" t="s">
        <v>135</v>
      </c>
      <c r="E492" t="str">
        <f>VLOOKUP(D492,'Tên SP'!B$2:C$1070,2,0)</f>
        <v>NƯỚC RỬA CHÉN ON1 TRÀ XANH MUỐI HỒNG 1,5KG/C08</v>
      </c>
      <c r="F492" s="4">
        <v>45000</v>
      </c>
      <c r="G492">
        <v>1</v>
      </c>
      <c r="H492" s="4">
        <v>45000</v>
      </c>
      <c r="I492" s="4">
        <v>-7650</v>
      </c>
      <c r="J492" s="5">
        <f t="shared" si="7"/>
        <v>37350</v>
      </c>
    </row>
    <row r="493" spans="1:10" x14ac:dyDescent="0.25">
      <c r="A493" s="6">
        <v>500</v>
      </c>
      <c r="B493" t="s">
        <v>1832</v>
      </c>
      <c r="C493" t="s">
        <v>563</v>
      </c>
      <c r="D493" t="s">
        <v>198</v>
      </c>
      <c r="E493" t="str">
        <f>VLOOKUP(D493,'Tên SP'!B$2:C$1070,2,0)</f>
        <v>NƯỚC LAU BẾP ON1 500ML/CH20</v>
      </c>
      <c r="F493" s="4">
        <v>43600</v>
      </c>
      <c r="G493">
        <v>1</v>
      </c>
      <c r="H493" s="4">
        <v>43600</v>
      </c>
      <c r="I493" s="4">
        <v>0</v>
      </c>
      <c r="J493" s="5">
        <f t="shared" si="7"/>
        <v>43600</v>
      </c>
    </row>
    <row r="494" spans="1:10" x14ac:dyDescent="0.25">
      <c r="A494" s="6">
        <v>501</v>
      </c>
      <c r="B494" t="s">
        <v>1833</v>
      </c>
      <c r="C494" t="s">
        <v>564</v>
      </c>
      <c r="D494" t="s">
        <v>28</v>
      </c>
      <c r="E494" t="str">
        <f>VLOOKUP(D494,'Tên SP'!B$2:C$1070,2,0)</f>
        <v>NƯỚC XẢ VẢI LIXSOFT HƯƠNG HOA HỒNG 3,6L/C04</v>
      </c>
      <c r="F494" s="4">
        <v>89700</v>
      </c>
      <c r="G494">
        <v>1</v>
      </c>
      <c r="H494" s="4">
        <v>89700</v>
      </c>
      <c r="I494" s="4">
        <v>-10000</v>
      </c>
      <c r="J494" s="5">
        <f t="shared" si="7"/>
        <v>79700</v>
      </c>
    </row>
    <row r="495" spans="1:10" x14ac:dyDescent="0.25">
      <c r="A495" s="6">
        <v>502</v>
      </c>
      <c r="B495" t="s">
        <v>1834</v>
      </c>
      <c r="C495" t="s">
        <v>565</v>
      </c>
      <c r="D495" t="s">
        <v>38</v>
      </c>
      <c r="E495" t="str">
        <f>VLOOKUP(D495,'Tên SP'!B$2:C$1070,2,0)</f>
        <v>BỘT GIẶT LIXE HƯƠNG NƯỚC HOA 5,5KG/03</v>
      </c>
      <c r="F495" s="4">
        <v>140600</v>
      </c>
      <c r="G495">
        <v>1</v>
      </c>
      <c r="H495" s="4">
        <v>140600</v>
      </c>
      <c r="I495" s="4">
        <v>-7600</v>
      </c>
      <c r="J495" s="5">
        <f t="shared" si="7"/>
        <v>133000</v>
      </c>
    </row>
    <row r="496" spans="1:10" x14ac:dyDescent="0.25">
      <c r="A496" s="6">
        <v>503</v>
      </c>
      <c r="B496" t="s">
        <v>1834</v>
      </c>
      <c r="C496" t="s">
        <v>565</v>
      </c>
      <c r="D496" t="s">
        <v>38</v>
      </c>
      <c r="E496" t="str">
        <f>VLOOKUP(D496,'Tên SP'!B$2:C$1070,2,0)</f>
        <v>BỘT GIẶT LIXE HƯƠNG NƯỚC HOA 5,5KG/03</v>
      </c>
      <c r="F496" s="4">
        <v>140600</v>
      </c>
      <c r="G496">
        <v>1</v>
      </c>
      <c r="H496" s="4">
        <v>140600</v>
      </c>
      <c r="I496" s="4">
        <v>-7600</v>
      </c>
      <c r="J496" s="5">
        <f t="shared" si="7"/>
        <v>133000</v>
      </c>
    </row>
    <row r="497" spans="1:10" x14ac:dyDescent="0.25">
      <c r="A497" s="6">
        <v>504</v>
      </c>
      <c r="B497" t="s">
        <v>1835</v>
      </c>
      <c r="C497" t="s">
        <v>566</v>
      </c>
      <c r="D497" t="s">
        <v>73</v>
      </c>
      <c r="E497" t="str">
        <f>VLOOKUP(D497,'Tên SP'!B$2:C$1070,2,0)</f>
        <v>NƯỚC RỬA CHÉN SIÊU SẠCH CHANH 1,5KG/T08- TÚI</v>
      </c>
      <c r="F497" s="4">
        <v>41200</v>
      </c>
      <c r="G497">
        <v>1</v>
      </c>
      <c r="H497" s="4">
        <v>41200</v>
      </c>
      <c r="I497" s="4">
        <v>0</v>
      </c>
      <c r="J497" s="5">
        <f t="shared" si="7"/>
        <v>41200</v>
      </c>
    </row>
    <row r="498" spans="1:10" x14ac:dyDescent="0.25">
      <c r="A498" s="6">
        <v>505</v>
      </c>
      <c r="B498" t="s">
        <v>1835</v>
      </c>
      <c r="C498" t="s">
        <v>566</v>
      </c>
      <c r="D498" t="s">
        <v>73</v>
      </c>
      <c r="E498" t="str">
        <f>VLOOKUP(D498,'Tên SP'!B$2:C$1070,2,0)</f>
        <v>NƯỚC RỬA CHÉN SIÊU SẠCH CHANH 1,5KG/T08- TÚI</v>
      </c>
      <c r="F498" s="4">
        <v>41200</v>
      </c>
      <c r="G498">
        <v>1</v>
      </c>
      <c r="H498" s="4">
        <v>41200</v>
      </c>
      <c r="I498" s="4">
        <v>0</v>
      </c>
      <c r="J498" s="5">
        <f t="shared" si="7"/>
        <v>41200</v>
      </c>
    </row>
    <row r="499" spans="1:10" x14ac:dyDescent="0.25">
      <c r="A499" s="6">
        <v>506</v>
      </c>
      <c r="B499" t="s">
        <v>1836</v>
      </c>
      <c r="C499" t="s">
        <v>567</v>
      </c>
      <c r="D499" t="s">
        <v>71</v>
      </c>
      <c r="E499" t="str">
        <f>VLOOKUP(D499,'Tên SP'!B$2:C$1070,2,0)</f>
        <v>NƯỚC RỬA CHÉN SIÊU SẠCH CHANH 3,5KG/T04- TÚI</v>
      </c>
      <c r="F499" s="4">
        <v>70000</v>
      </c>
      <c r="G499">
        <v>1</v>
      </c>
      <c r="H499" s="4">
        <v>70000</v>
      </c>
      <c r="I499" s="4">
        <v>0</v>
      </c>
      <c r="J499" s="5">
        <f t="shared" si="7"/>
        <v>70000</v>
      </c>
    </row>
    <row r="500" spans="1:10" x14ac:dyDescent="0.25">
      <c r="A500" s="6">
        <v>507</v>
      </c>
      <c r="B500" t="s">
        <v>1837</v>
      </c>
      <c r="C500" t="s">
        <v>568</v>
      </c>
      <c r="D500" t="s">
        <v>95</v>
      </c>
      <c r="E500" t="str">
        <f>VLOOKUP(D500,'Tên SP'!B$2:C$1070,2,0)</f>
        <v>NƯỚC LAU SÀN LIX ĐUỐI CÔN TRÙNG 1L/CH12</v>
      </c>
      <c r="F500" s="4">
        <v>39000</v>
      </c>
      <c r="G500">
        <v>1</v>
      </c>
      <c r="H500" s="4">
        <v>39000</v>
      </c>
      <c r="I500" s="4">
        <v>0</v>
      </c>
      <c r="J500" s="5">
        <f t="shared" si="7"/>
        <v>39000</v>
      </c>
    </row>
    <row r="501" spans="1:10" x14ac:dyDescent="0.25">
      <c r="A501" s="6">
        <v>508</v>
      </c>
      <c r="B501" t="s">
        <v>1838</v>
      </c>
      <c r="C501" t="s">
        <v>569</v>
      </c>
      <c r="D501" t="s">
        <v>69</v>
      </c>
      <c r="E501" t="str">
        <f>VLOOKUP(D501,'Tên SP'!B$2:C$1070,2,0)</f>
        <v>BỘT GIẶT LIX DD HƯƠNG NƯỚC HOA 400G/24</v>
      </c>
      <c r="F501" s="4">
        <v>18400</v>
      </c>
      <c r="G501">
        <v>1</v>
      </c>
      <c r="H501" s="4">
        <v>18400</v>
      </c>
      <c r="I501" s="4">
        <v>-2760</v>
      </c>
      <c r="J501" s="5">
        <f t="shared" si="7"/>
        <v>15640</v>
      </c>
    </row>
    <row r="502" spans="1:10" x14ac:dyDescent="0.25">
      <c r="A502" s="6">
        <v>509</v>
      </c>
      <c r="B502" t="s">
        <v>1838</v>
      </c>
      <c r="C502" t="s">
        <v>569</v>
      </c>
      <c r="D502" t="s">
        <v>67</v>
      </c>
      <c r="E502" t="str">
        <f>VLOOKUP(D502,'Tên SP'!B$2:C$1070,2,0)</f>
        <v>BỘT GIẶT LIX DD HƯƠNG NƯỚC HOA 800G/12</v>
      </c>
      <c r="F502" s="4">
        <v>28100</v>
      </c>
      <c r="G502">
        <v>1</v>
      </c>
      <c r="H502" s="4">
        <v>28100</v>
      </c>
      <c r="I502" s="4">
        <v>-4215</v>
      </c>
      <c r="J502" s="5">
        <f t="shared" si="7"/>
        <v>23885</v>
      </c>
    </row>
    <row r="503" spans="1:10" x14ac:dyDescent="0.25">
      <c r="A503" s="6">
        <v>510</v>
      </c>
      <c r="B503" t="s">
        <v>1839</v>
      </c>
      <c r="C503" t="s">
        <v>570</v>
      </c>
      <c r="D503" t="s">
        <v>106</v>
      </c>
      <c r="E503" t="str">
        <f>VLOOKUP(D503,'Tên SP'!B$2:C$1070,2,0)</f>
        <v>NƯỚC GIẶT LIX SIÊU SẠCH HOA ANH ĐÀO 2.4KG/T06</v>
      </c>
      <c r="F503" s="4">
        <v>67200</v>
      </c>
      <c r="G503">
        <v>1</v>
      </c>
      <c r="H503" s="4">
        <v>67200</v>
      </c>
      <c r="I503" s="4">
        <v>-10000</v>
      </c>
      <c r="J503" s="5">
        <f t="shared" si="7"/>
        <v>57200</v>
      </c>
    </row>
    <row r="504" spans="1:10" x14ac:dyDescent="0.25">
      <c r="A504" s="6">
        <v>511</v>
      </c>
      <c r="B504" t="s">
        <v>1840</v>
      </c>
      <c r="C504" t="s">
        <v>571</v>
      </c>
      <c r="D504" t="s">
        <v>106</v>
      </c>
      <c r="E504" t="str">
        <f>VLOOKUP(D504,'Tên SP'!B$2:C$1070,2,0)</f>
        <v>NƯỚC GIẶT LIX SIÊU SẠCH HOA ANH ĐÀO 2.4KG/T06</v>
      </c>
      <c r="F504" s="4">
        <v>67200</v>
      </c>
      <c r="G504">
        <v>1</v>
      </c>
      <c r="H504" s="4">
        <v>67200</v>
      </c>
      <c r="I504" s="4">
        <v>0</v>
      </c>
      <c r="J504" s="5">
        <f t="shared" si="7"/>
        <v>67200</v>
      </c>
    </row>
    <row r="505" spans="1:10" x14ac:dyDescent="0.25">
      <c r="A505" s="6">
        <v>512</v>
      </c>
      <c r="B505" t="s">
        <v>1840</v>
      </c>
      <c r="C505" t="s">
        <v>571</v>
      </c>
      <c r="D505" t="s">
        <v>106</v>
      </c>
      <c r="E505" t="str">
        <f>VLOOKUP(D505,'Tên SP'!B$2:C$1070,2,0)</f>
        <v>NƯỚC GIẶT LIX SIÊU SẠCH HOA ANH ĐÀO 2.4KG/T06</v>
      </c>
      <c r="F505" s="4">
        <v>67200</v>
      </c>
      <c r="G505">
        <v>1</v>
      </c>
      <c r="H505" s="4">
        <v>67200</v>
      </c>
      <c r="I505" s="4">
        <v>0</v>
      </c>
      <c r="J505" s="5">
        <f t="shared" si="7"/>
        <v>67200</v>
      </c>
    </row>
    <row r="506" spans="1:10" x14ac:dyDescent="0.25">
      <c r="A506" s="6">
        <v>513</v>
      </c>
      <c r="B506" t="s">
        <v>1840</v>
      </c>
      <c r="C506" t="s">
        <v>572</v>
      </c>
      <c r="D506" t="s">
        <v>9</v>
      </c>
      <c r="E506" t="str">
        <f>VLOOKUP(D506,'Tên SP'!B$2:C$1070,2,0)</f>
        <v>NƯỚC GIẶT LIX ĐẬM ĐẶC 3,5KG/T04 TÚI</v>
      </c>
      <c r="F506" s="4">
        <v>95100</v>
      </c>
      <c r="G506">
        <v>1</v>
      </c>
      <c r="H506" s="4">
        <v>95100</v>
      </c>
      <c r="I506" s="4">
        <v>-10000</v>
      </c>
      <c r="J506" s="5">
        <f t="shared" si="7"/>
        <v>85100</v>
      </c>
    </row>
    <row r="507" spans="1:10" x14ac:dyDescent="0.25">
      <c r="A507" s="6">
        <v>514</v>
      </c>
      <c r="B507" t="s">
        <v>1841</v>
      </c>
      <c r="C507" t="s">
        <v>573</v>
      </c>
      <c r="D507" t="s">
        <v>106</v>
      </c>
      <c r="E507" t="str">
        <f>VLOOKUP(D507,'Tên SP'!B$2:C$1070,2,0)</f>
        <v>NƯỚC GIẶT LIX SIÊU SẠCH HOA ANH ĐÀO 2.4KG/T06</v>
      </c>
      <c r="F507" s="4">
        <v>67200</v>
      </c>
      <c r="G507">
        <v>1</v>
      </c>
      <c r="H507" s="4">
        <v>67200</v>
      </c>
      <c r="I507" s="4">
        <v>-10000</v>
      </c>
      <c r="J507" s="5">
        <f t="shared" ref="J507:J570" si="8">H507+I507</f>
        <v>57200</v>
      </c>
    </row>
    <row r="508" spans="1:10" x14ac:dyDescent="0.25">
      <c r="A508" s="6">
        <v>515</v>
      </c>
      <c r="B508" t="s">
        <v>1842</v>
      </c>
      <c r="C508" t="s">
        <v>574</v>
      </c>
      <c r="D508" t="s">
        <v>97</v>
      </c>
      <c r="E508" t="str">
        <f>VLOOKUP(D508,'Tên SP'!B$2:C$1070,2,0)</f>
        <v>NƯỚC GIẶT LIX ĐẬM ĐẶC 3,6KG/C04</v>
      </c>
      <c r="F508" s="4">
        <v>117000</v>
      </c>
      <c r="G508">
        <v>1</v>
      </c>
      <c r="H508" s="4">
        <v>117000</v>
      </c>
      <c r="I508" s="4">
        <v>0</v>
      </c>
      <c r="J508" s="5">
        <f t="shared" si="8"/>
        <v>117000</v>
      </c>
    </row>
    <row r="509" spans="1:10" x14ac:dyDescent="0.25">
      <c r="A509" s="6">
        <v>516</v>
      </c>
      <c r="B509" t="s">
        <v>1843</v>
      </c>
      <c r="C509" t="s">
        <v>575</v>
      </c>
      <c r="D509" t="s">
        <v>38</v>
      </c>
      <c r="E509" t="str">
        <f>VLOOKUP(D509,'Tên SP'!B$2:C$1070,2,0)</f>
        <v>BỘT GIẶT LIXE HƯƠNG NƯỚC HOA 5,5KG/03</v>
      </c>
      <c r="F509" s="4">
        <v>140600</v>
      </c>
      <c r="G509">
        <v>1</v>
      </c>
      <c r="H509" s="4">
        <v>140600</v>
      </c>
      <c r="I509" s="4">
        <v>0</v>
      </c>
      <c r="J509" s="5">
        <f t="shared" si="8"/>
        <v>140600</v>
      </c>
    </row>
    <row r="510" spans="1:10" x14ac:dyDescent="0.25">
      <c r="A510" s="6">
        <v>517</v>
      </c>
      <c r="B510" t="s">
        <v>1844</v>
      </c>
      <c r="C510" t="s">
        <v>576</v>
      </c>
      <c r="D510" t="s">
        <v>71</v>
      </c>
      <c r="E510" t="str">
        <f>VLOOKUP(D510,'Tên SP'!B$2:C$1070,2,0)</f>
        <v>NƯỚC RỬA CHÉN SIÊU SẠCH CHANH 3,5KG/T04- TÚI</v>
      </c>
      <c r="F510" s="4">
        <v>70000</v>
      </c>
      <c r="G510">
        <v>1</v>
      </c>
      <c r="H510" s="4">
        <v>70000</v>
      </c>
      <c r="I510" s="4">
        <v>-10000</v>
      </c>
      <c r="J510" s="5">
        <f t="shared" si="8"/>
        <v>60000</v>
      </c>
    </row>
    <row r="511" spans="1:10" x14ac:dyDescent="0.25">
      <c r="A511" s="6">
        <v>518</v>
      </c>
      <c r="B511" t="s">
        <v>1845</v>
      </c>
      <c r="C511" t="s">
        <v>577</v>
      </c>
      <c r="D511" t="s">
        <v>23</v>
      </c>
      <c r="E511" t="str">
        <f>VLOOKUP(D511,'Tên SP'!B$2:C$1070,2,0)</f>
        <v>NƯỚC XẢ VẢI LIXSOFT 3,6L/C04</v>
      </c>
      <c r="F511" s="4">
        <v>89700</v>
      </c>
      <c r="G511">
        <v>1</v>
      </c>
      <c r="H511" s="4">
        <v>89700</v>
      </c>
      <c r="I511" s="4">
        <v>0</v>
      </c>
      <c r="J511" s="5">
        <f t="shared" si="8"/>
        <v>89700</v>
      </c>
    </row>
    <row r="512" spans="1:10" x14ac:dyDescent="0.25">
      <c r="A512" s="6">
        <v>519</v>
      </c>
      <c r="B512" t="s">
        <v>1846</v>
      </c>
      <c r="C512" t="s">
        <v>578</v>
      </c>
      <c r="D512" t="s">
        <v>192</v>
      </c>
      <c r="E512" t="str">
        <f>VLOOKUP(D512,'Tên SP'!B$2:C$1070,2,0)</f>
        <v>GEL TẨY BỒN CẦU &amp; NHÀ TẮM ON1 900G/CH12</v>
      </c>
      <c r="F512" s="4">
        <v>47700</v>
      </c>
      <c r="G512">
        <v>1</v>
      </c>
      <c r="H512" s="4">
        <v>47700</v>
      </c>
      <c r="I512" s="4">
        <v>0</v>
      </c>
      <c r="J512" s="5">
        <f t="shared" si="8"/>
        <v>47700</v>
      </c>
    </row>
    <row r="513" spans="1:10" x14ac:dyDescent="0.25">
      <c r="A513" s="6">
        <v>520</v>
      </c>
      <c r="B513" t="s">
        <v>1846</v>
      </c>
      <c r="C513" t="s">
        <v>578</v>
      </c>
      <c r="D513" t="s">
        <v>108</v>
      </c>
      <c r="E513" t="str">
        <f>VLOOKUP(D513,'Tên SP'!B$2:C$1070,2,0)</f>
        <v>NƯỚC GIẶT LIX SIÊU SẠCH HOA ANH ĐÀO 3.5KG/C04</v>
      </c>
      <c r="F513" s="4">
        <v>111500</v>
      </c>
      <c r="G513">
        <v>1</v>
      </c>
      <c r="H513" s="4">
        <v>111500</v>
      </c>
      <c r="I513" s="4">
        <v>0</v>
      </c>
      <c r="J513" s="5">
        <f t="shared" si="8"/>
        <v>111500</v>
      </c>
    </row>
    <row r="514" spans="1:10" x14ac:dyDescent="0.25">
      <c r="A514" s="6">
        <v>521</v>
      </c>
      <c r="B514" t="s">
        <v>1846</v>
      </c>
      <c r="C514" t="s">
        <v>578</v>
      </c>
      <c r="D514" t="s">
        <v>142</v>
      </c>
      <c r="E514" t="str">
        <f>VLOOKUP(D514,'Tên SP'!B$2:C$1070,2,0)</f>
        <v>NƯỚC RỬA CHÉN ON1 TINH DẦU GỪNG CAM 500G/CH20</v>
      </c>
      <c r="F514" s="4">
        <v>39000</v>
      </c>
      <c r="G514">
        <v>1</v>
      </c>
      <c r="H514" s="4">
        <v>39000</v>
      </c>
      <c r="I514" s="4">
        <v>0</v>
      </c>
      <c r="J514" s="5">
        <f t="shared" si="8"/>
        <v>39000</v>
      </c>
    </row>
    <row r="515" spans="1:10" x14ac:dyDescent="0.25">
      <c r="A515" s="6">
        <v>522</v>
      </c>
      <c r="B515" t="s">
        <v>1847</v>
      </c>
      <c r="C515" t="s">
        <v>579</v>
      </c>
      <c r="D515" t="s">
        <v>89</v>
      </c>
      <c r="E515" t="str">
        <f>VLOOKUP(D515,'Tên SP'!B$2:C$1070,2,0)</f>
        <v>NƯỚC RỬA CHÉN SIÊU SẠCH TRÀ 750G/CH12</v>
      </c>
      <c r="F515" s="4">
        <v>18400</v>
      </c>
      <c r="G515">
        <v>1</v>
      </c>
      <c r="H515" s="4">
        <v>18400</v>
      </c>
      <c r="I515" s="4">
        <v>0</v>
      </c>
      <c r="J515" s="5">
        <f t="shared" si="8"/>
        <v>18400</v>
      </c>
    </row>
    <row r="516" spans="1:10" x14ac:dyDescent="0.25">
      <c r="A516" s="6">
        <v>523</v>
      </c>
      <c r="B516" t="s">
        <v>1847</v>
      </c>
      <c r="C516" t="s">
        <v>579</v>
      </c>
      <c r="D516" t="s">
        <v>89</v>
      </c>
      <c r="E516" t="str">
        <f>VLOOKUP(D516,'Tên SP'!B$2:C$1070,2,0)</f>
        <v>NƯỚC RỬA CHÉN SIÊU SẠCH TRÀ 750G/CH12</v>
      </c>
      <c r="F516" s="4">
        <v>18400</v>
      </c>
      <c r="G516">
        <v>1</v>
      </c>
      <c r="H516" s="4">
        <v>18400</v>
      </c>
      <c r="I516" s="4">
        <v>0</v>
      </c>
      <c r="J516" s="5">
        <f t="shared" si="8"/>
        <v>18400</v>
      </c>
    </row>
    <row r="517" spans="1:10" x14ac:dyDescent="0.25">
      <c r="A517" s="6">
        <v>524</v>
      </c>
      <c r="B517" t="s">
        <v>1848</v>
      </c>
      <c r="C517" t="s">
        <v>580</v>
      </c>
      <c r="D517" t="s">
        <v>102</v>
      </c>
      <c r="E517" t="str">
        <f>VLOOKUP(D517,'Tên SP'!B$2:C$1070,2,0)</f>
        <v>NƯỚC GIẶT LIX HƯƠNG NƯỚC HOA 3,5KG/T04 TÚI</v>
      </c>
      <c r="F517" s="4">
        <v>88000</v>
      </c>
      <c r="G517">
        <v>1</v>
      </c>
      <c r="H517" s="4">
        <v>88000</v>
      </c>
      <c r="I517" s="4">
        <v>0</v>
      </c>
      <c r="J517" s="5">
        <f t="shared" si="8"/>
        <v>88000</v>
      </c>
    </row>
    <row r="518" spans="1:10" x14ac:dyDescent="0.25">
      <c r="A518" s="6">
        <v>525</v>
      </c>
      <c r="B518" t="s">
        <v>1849</v>
      </c>
      <c r="C518" t="s">
        <v>581</v>
      </c>
      <c r="D518" t="s">
        <v>23</v>
      </c>
      <c r="E518" t="str">
        <f>VLOOKUP(D518,'Tên SP'!B$2:C$1070,2,0)</f>
        <v>NƯỚC XẢ VẢI LIXSOFT 3,6L/C04</v>
      </c>
      <c r="F518" s="4">
        <v>89700</v>
      </c>
      <c r="G518">
        <v>1</v>
      </c>
      <c r="H518" s="4">
        <v>89700</v>
      </c>
      <c r="I518" s="4">
        <v>0</v>
      </c>
      <c r="J518" s="5">
        <f t="shared" si="8"/>
        <v>89700</v>
      </c>
    </row>
    <row r="519" spans="1:10" x14ac:dyDescent="0.25">
      <c r="A519" s="6">
        <v>526</v>
      </c>
      <c r="B519" t="s">
        <v>1850</v>
      </c>
      <c r="C519" t="s">
        <v>582</v>
      </c>
      <c r="D519" t="s">
        <v>9</v>
      </c>
      <c r="E519" t="str">
        <f>VLOOKUP(D519,'Tên SP'!B$2:C$1070,2,0)</f>
        <v>NƯỚC GIẶT LIX ĐẬM ĐẶC 3,5KG/T04 TÚI</v>
      </c>
      <c r="F519" s="4">
        <v>95100</v>
      </c>
      <c r="G519">
        <v>1</v>
      </c>
      <c r="H519" s="4">
        <v>95100</v>
      </c>
      <c r="I519" s="4">
        <v>-10000</v>
      </c>
      <c r="J519" s="5">
        <f t="shared" si="8"/>
        <v>85100</v>
      </c>
    </row>
    <row r="520" spans="1:10" x14ac:dyDescent="0.25">
      <c r="A520" s="6">
        <v>527</v>
      </c>
      <c r="B520" t="s">
        <v>1851</v>
      </c>
      <c r="C520" t="s">
        <v>583</v>
      </c>
      <c r="D520" t="s">
        <v>102</v>
      </c>
      <c r="E520" t="str">
        <f>VLOOKUP(D520,'Tên SP'!B$2:C$1070,2,0)</f>
        <v>NƯỚC GIẶT LIX HƯƠNG NƯỚC HOA 3,5KG/T04 TÚI</v>
      </c>
      <c r="F520" s="4">
        <v>88000</v>
      </c>
      <c r="G520">
        <v>1</v>
      </c>
      <c r="H520" s="4">
        <v>88000</v>
      </c>
      <c r="I520" s="4">
        <v>0</v>
      </c>
      <c r="J520" s="5">
        <f t="shared" si="8"/>
        <v>88000</v>
      </c>
    </row>
    <row r="521" spans="1:10" x14ac:dyDescent="0.25">
      <c r="A521" s="6">
        <v>528</v>
      </c>
      <c r="B521" t="s">
        <v>1852</v>
      </c>
      <c r="C521" t="s">
        <v>584</v>
      </c>
      <c r="D521" t="s">
        <v>9</v>
      </c>
      <c r="E521" t="str">
        <f>VLOOKUP(D521,'Tên SP'!B$2:C$1070,2,0)</f>
        <v>NƯỚC GIẶT LIX ĐẬM ĐẶC 3,5KG/T04 TÚI</v>
      </c>
      <c r="F521" s="4">
        <v>95100</v>
      </c>
      <c r="G521">
        <v>1</v>
      </c>
      <c r="H521" s="4">
        <v>95100</v>
      </c>
      <c r="I521" s="4">
        <v>0</v>
      </c>
      <c r="J521" s="5">
        <f t="shared" si="8"/>
        <v>95100</v>
      </c>
    </row>
    <row r="522" spans="1:10" x14ac:dyDescent="0.25">
      <c r="A522" s="6">
        <v>529</v>
      </c>
      <c r="B522" t="s">
        <v>1853</v>
      </c>
      <c r="C522" t="s">
        <v>585</v>
      </c>
      <c r="D522" t="s">
        <v>102</v>
      </c>
      <c r="E522" t="str">
        <f>VLOOKUP(D522,'Tên SP'!B$2:C$1070,2,0)</f>
        <v>NƯỚC GIẶT LIX HƯƠNG NƯỚC HOA 3,5KG/T04 TÚI</v>
      </c>
      <c r="F522" s="4">
        <v>88000</v>
      </c>
      <c r="G522">
        <v>1</v>
      </c>
      <c r="H522" s="4">
        <v>88000</v>
      </c>
      <c r="I522" s="4">
        <v>-3750</v>
      </c>
      <c r="J522" s="5">
        <f t="shared" si="8"/>
        <v>84250</v>
      </c>
    </row>
    <row r="523" spans="1:10" x14ac:dyDescent="0.25">
      <c r="A523" s="6">
        <v>530</v>
      </c>
      <c r="B523" t="s">
        <v>1853</v>
      </c>
      <c r="C523" t="s">
        <v>585</v>
      </c>
      <c r="D523" t="s">
        <v>102</v>
      </c>
      <c r="E523" t="str">
        <f>VLOOKUP(D523,'Tên SP'!B$2:C$1070,2,0)</f>
        <v>NƯỚC GIẶT LIX HƯƠNG NƯỚC HOA 3,5KG/T04 TÚI</v>
      </c>
      <c r="F523" s="4">
        <v>88000</v>
      </c>
      <c r="G523">
        <v>1</v>
      </c>
      <c r="H523" s="4">
        <v>88000</v>
      </c>
      <c r="I523" s="4">
        <v>-3750</v>
      </c>
      <c r="J523" s="5">
        <f t="shared" si="8"/>
        <v>84250</v>
      </c>
    </row>
    <row r="524" spans="1:10" x14ac:dyDescent="0.25">
      <c r="A524" s="6">
        <v>531</v>
      </c>
      <c r="B524" t="s">
        <v>1853</v>
      </c>
      <c r="C524" t="s">
        <v>585</v>
      </c>
      <c r="D524" t="s">
        <v>102</v>
      </c>
      <c r="E524" t="str">
        <f>VLOOKUP(D524,'Tên SP'!B$2:C$1070,2,0)</f>
        <v>NƯỚC GIẶT LIX HƯƠNG NƯỚC HOA 3,5KG/T04 TÚI</v>
      </c>
      <c r="F524" s="4">
        <v>88000</v>
      </c>
      <c r="G524">
        <v>1</v>
      </c>
      <c r="H524" s="4">
        <v>88000</v>
      </c>
      <c r="I524" s="4">
        <v>-3750</v>
      </c>
      <c r="J524" s="5">
        <f t="shared" si="8"/>
        <v>84250</v>
      </c>
    </row>
    <row r="525" spans="1:10" x14ac:dyDescent="0.25">
      <c r="A525" s="6">
        <v>532</v>
      </c>
      <c r="B525" t="s">
        <v>1853</v>
      </c>
      <c r="C525" t="s">
        <v>585</v>
      </c>
      <c r="D525" t="s">
        <v>102</v>
      </c>
      <c r="E525" t="str">
        <f>VLOOKUP(D525,'Tên SP'!B$2:C$1070,2,0)</f>
        <v>NƯỚC GIẶT LIX HƯƠNG NƯỚC HOA 3,5KG/T04 TÚI</v>
      </c>
      <c r="F525" s="4">
        <v>88000</v>
      </c>
      <c r="G525">
        <v>1</v>
      </c>
      <c r="H525" s="4">
        <v>88000</v>
      </c>
      <c r="I525" s="4">
        <v>-3750</v>
      </c>
      <c r="J525" s="5">
        <f t="shared" si="8"/>
        <v>84250</v>
      </c>
    </row>
    <row r="526" spans="1:10" x14ac:dyDescent="0.25">
      <c r="A526" s="6">
        <v>533</v>
      </c>
      <c r="B526" t="s">
        <v>1854</v>
      </c>
      <c r="C526" t="s">
        <v>586</v>
      </c>
      <c r="D526" t="s">
        <v>71</v>
      </c>
      <c r="E526" t="str">
        <f>VLOOKUP(D526,'Tên SP'!B$2:C$1070,2,0)</f>
        <v>NƯỚC RỬA CHÉN SIÊU SẠCH CHANH 3,5KG/T04- TÚI</v>
      </c>
      <c r="F526" s="4">
        <v>70000</v>
      </c>
      <c r="G526">
        <v>1</v>
      </c>
      <c r="H526" s="4">
        <v>70000</v>
      </c>
      <c r="I526" s="4">
        <v>0</v>
      </c>
      <c r="J526" s="5">
        <f t="shared" si="8"/>
        <v>70000</v>
      </c>
    </row>
    <row r="527" spans="1:10" x14ac:dyDescent="0.25">
      <c r="A527" s="6">
        <v>534</v>
      </c>
      <c r="B527" t="s">
        <v>1855</v>
      </c>
      <c r="C527" t="s">
        <v>587</v>
      </c>
      <c r="D527" t="s">
        <v>9</v>
      </c>
      <c r="E527" t="str">
        <f>VLOOKUP(D527,'Tên SP'!B$2:C$1070,2,0)</f>
        <v>NƯỚC GIẶT LIX ĐẬM ĐẶC 3,5KG/T04 TÚI</v>
      </c>
      <c r="F527" s="4">
        <v>95100</v>
      </c>
      <c r="G527">
        <v>1</v>
      </c>
      <c r="H527" s="4">
        <v>95100</v>
      </c>
      <c r="I527" s="4">
        <v>0</v>
      </c>
      <c r="J527" s="5">
        <f t="shared" si="8"/>
        <v>95100</v>
      </c>
    </row>
    <row r="528" spans="1:10" x14ac:dyDescent="0.25">
      <c r="A528" s="6">
        <v>535</v>
      </c>
      <c r="B528" t="s">
        <v>1856</v>
      </c>
      <c r="C528" t="s">
        <v>588</v>
      </c>
      <c r="D528" t="s">
        <v>102</v>
      </c>
      <c r="E528" t="str">
        <f>VLOOKUP(D528,'Tên SP'!B$2:C$1070,2,0)</f>
        <v>NƯỚC GIẶT LIX HƯƠNG NƯỚC HOA 3,5KG/T04 TÚI</v>
      </c>
      <c r="F528" s="4">
        <v>88000</v>
      </c>
      <c r="G528">
        <v>1</v>
      </c>
      <c r="H528" s="4">
        <v>88000</v>
      </c>
      <c r="I528" s="4">
        <v>0</v>
      </c>
      <c r="J528" s="5">
        <f t="shared" si="8"/>
        <v>88000</v>
      </c>
    </row>
    <row r="529" spans="1:10" x14ac:dyDescent="0.25">
      <c r="A529" s="6">
        <v>536</v>
      </c>
      <c r="B529" t="s">
        <v>1857</v>
      </c>
      <c r="C529" t="s">
        <v>589</v>
      </c>
      <c r="D529" t="s">
        <v>60</v>
      </c>
      <c r="E529" t="str">
        <f>VLOOKUP(D529,'Tên SP'!B$2:C$1070,2,0)</f>
        <v>BỘT GIẶT LIX DD CHỐNG LEM MÀU 800G/12</v>
      </c>
      <c r="F529" s="4">
        <v>28100</v>
      </c>
      <c r="G529">
        <v>1</v>
      </c>
      <c r="H529" s="4">
        <v>28100</v>
      </c>
      <c r="I529" s="4">
        <v>-2420</v>
      </c>
      <c r="J529" s="5">
        <f t="shared" si="8"/>
        <v>25680</v>
      </c>
    </row>
    <row r="530" spans="1:10" x14ac:dyDescent="0.25">
      <c r="A530" s="6">
        <v>537</v>
      </c>
      <c r="B530" t="s">
        <v>1857</v>
      </c>
      <c r="C530" t="s">
        <v>589</v>
      </c>
      <c r="D530" t="s">
        <v>102</v>
      </c>
      <c r="E530" t="str">
        <f>VLOOKUP(D530,'Tên SP'!B$2:C$1070,2,0)</f>
        <v>NƯỚC GIẶT LIX HƯƠNG NƯỚC HOA 3,5KG/T04 TÚI</v>
      </c>
      <c r="F530" s="4">
        <v>88000</v>
      </c>
      <c r="G530">
        <v>1</v>
      </c>
      <c r="H530" s="4">
        <v>88000</v>
      </c>
      <c r="I530" s="4">
        <v>-7580</v>
      </c>
      <c r="J530" s="5">
        <f t="shared" si="8"/>
        <v>80420</v>
      </c>
    </row>
    <row r="531" spans="1:10" x14ac:dyDescent="0.25">
      <c r="A531" s="6">
        <v>538</v>
      </c>
      <c r="B531" t="s">
        <v>1858</v>
      </c>
      <c r="C531" t="s">
        <v>590</v>
      </c>
      <c r="D531" t="s">
        <v>9</v>
      </c>
      <c r="E531" t="str">
        <f>VLOOKUP(D531,'Tên SP'!B$2:C$1070,2,0)</f>
        <v>NƯỚC GIẶT LIX ĐẬM ĐẶC 3,5KG/T04 TÚI</v>
      </c>
      <c r="F531" s="4">
        <v>95100</v>
      </c>
      <c r="G531">
        <v>1</v>
      </c>
      <c r="H531" s="4">
        <v>95100</v>
      </c>
      <c r="I531" s="4">
        <v>-10000</v>
      </c>
      <c r="J531" s="5">
        <f t="shared" si="8"/>
        <v>85100</v>
      </c>
    </row>
    <row r="532" spans="1:10" x14ac:dyDescent="0.25">
      <c r="A532" s="6">
        <v>539</v>
      </c>
      <c r="B532" t="s">
        <v>1859</v>
      </c>
      <c r="C532" t="s">
        <v>591</v>
      </c>
      <c r="D532" t="s">
        <v>102</v>
      </c>
      <c r="E532" t="str">
        <f>VLOOKUP(D532,'Tên SP'!B$2:C$1070,2,0)</f>
        <v>NƯỚC GIẶT LIX HƯƠNG NƯỚC HOA 3,5KG/T04 TÚI</v>
      </c>
      <c r="F532" s="4">
        <v>88000</v>
      </c>
      <c r="G532">
        <v>1</v>
      </c>
      <c r="H532" s="4">
        <v>88000</v>
      </c>
      <c r="I532" s="4">
        <v>0</v>
      </c>
      <c r="J532" s="5">
        <f t="shared" si="8"/>
        <v>88000</v>
      </c>
    </row>
    <row r="533" spans="1:10" x14ac:dyDescent="0.25">
      <c r="A533" s="6">
        <v>540</v>
      </c>
      <c r="B533" t="s">
        <v>1860</v>
      </c>
      <c r="C533" t="s">
        <v>592</v>
      </c>
      <c r="D533" t="s">
        <v>102</v>
      </c>
      <c r="E533" t="str">
        <f>VLOOKUP(D533,'Tên SP'!B$2:C$1070,2,0)</f>
        <v>NƯỚC GIẶT LIX HƯƠNG NƯỚC HOA 3,5KG/T04 TÚI</v>
      </c>
      <c r="F533" s="4">
        <v>88000</v>
      </c>
      <c r="G533">
        <v>1</v>
      </c>
      <c r="H533" s="4">
        <v>88000</v>
      </c>
      <c r="I533" s="4">
        <v>0</v>
      </c>
      <c r="J533" s="5">
        <f t="shared" si="8"/>
        <v>88000</v>
      </c>
    </row>
    <row r="534" spans="1:10" x14ac:dyDescent="0.25">
      <c r="A534" s="6">
        <v>541</v>
      </c>
      <c r="B534" t="s">
        <v>1860</v>
      </c>
      <c r="C534" t="s">
        <v>592</v>
      </c>
      <c r="D534" t="s">
        <v>54</v>
      </c>
      <c r="E534" t="str">
        <f>VLOOKUP(D534,'Tên SP'!B$2:C$1070,2,0)</f>
        <v>BỘT GIẶT LIX ĐẬM ĐẶC 800G/12</v>
      </c>
      <c r="F534" s="4">
        <v>23000</v>
      </c>
      <c r="G534">
        <v>1</v>
      </c>
      <c r="H534" s="4">
        <v>23000</v>
      </c>
      <c r="I534" s="4">
        <v>0</v>
      </c>
      <c r="J534" s="5">
        <f t="shared" si="8"/>
        <v>23000</v>
      </c>
    </row>
    <row r="535" spans="1:10" x14ac:dyDescent="0.25">
      <c r="A535" s="6">
        <v>542</v>
      </c>
      <c r="B535" t="s">
        <v>1861</v>
      </c>
      <c r="C535" t="s">
        <v>593</v>
      </c>
      <c r="D535" t="s">
        <v>102</v>
      </c>
      <c r="E535" t="str">
        <f>VLOOKUP(D535,'Tên SP'!B$2:C$1070,2,0)</f>
        <v>NƯỚC GIẶT LIX HƯƠNG NƯỚC HOA 3,5KG/T04 TÚI</v>
      </c>
      <c r="F535" s="4">
        <v>88000</v>
      </c>
      <c r="G535">
        <v>1</v>
      </c>
      <c r="H535" s="4">
        <v>88000</v>
      </c>
      <c r="I535" s="4">
        <v>-10000</v>
      </c>
      <c r="J535" s="5">
        <f t="shared" si="8"/>
        <v>78000</v>
      </c>
    </row>
    <row r="536" spans="1:10" x14ac:dyDescent="0.25">
      <c r="A536" s="6">
        <v>543</v>
      </c>
      <c r="B536" t="s">
        <v>1862</v>
      </c>
      <c r="C536" t="s">
        <v>594</v>
      </c>
      <c r="D536" t="s">
        <v>102</v>
      </c>
      <c r="E536" t="str">
        <f>VLOOKUP(D536,'Tên SP'!B$2:C$1070,2,0)</f>
        <v>NƯỚC GIẶT LIX HƯƠNG NƯỚC HOA 3,5KG/T04 TÚI</v>
      </c>
      <c r="F536" s="4">
        <v>88000</v>
      </c>
      <c r="G536">
        <v>1</v>
      </c>
      <c r="H536" s="4">
        <v>88000</v>
      </c>
      <c r="I536" s="4">
        <v>-10000</v>
      </c>
      <c r="J536" s="5">
        <f t="shared" si="8"/>
        <v>78000</v>
      </c>
    </row>
    <row r="537" spans="1:10" x14ac:dyDescent="0.25">
      <c r="A537" s="6">
        <v>544</v>
      </c>
      <c r="B537" t="s">
        <v>1863</v>
      </c>
      <c r="C537" t="s">
        <v>595</v>
      </c>
      <c r="D537" t="s">
        <v>97</v>
      </c>
      <c r="E537" t="str">
        <f>VLOOKUP(D537,'Tên SP'!B$2:C$1070,2,0)</f>
        <v>NƯỚC GIẶT LIX ĐẬM ĐẶC 3,6KG/C04</v>
      </c>
      <c r="F537" s="4">
        <v>117000</v>
      </c>
      <c r="G537">
        <v>1</v>
      </c>
      <c r="H537" s="4">
        <v>117000</v>
      </c>
      <c r="I537" s="4">
        <v>0</v>
      </c>
      <c r="J537" s="5">
        <f t="shared" si="8"/>
        <v>117000</v>
      </c>
    </row>
    <row r="538" spans="1:10" x14ac:dyDescent="0.25">
      <c r="A538" s="6">
        <v>545</v>
      </c>
      <c r="B538" t="s">
        <v>1864</v>
      </c>
      <c r="C538" t="s">
        <v>596</v>
      </c>
      <c r="D538" t="s">
        <v>28</v>
      </c>
      <c r="E538" t="str">
        <f>VLOOKUP(D538,'Tên SP'!B$2:C$1070,2,0)</f>
        <v>NƯỚC XẢ VẢI LIXSOFT HƯƠNG HOA HỒNG 3,6L/C04</v>
      </c>
      <c r="F538" s="4">
        <v>79000</v>
      </c>
      <c r="G538">
        <v>1</v>
      </c>
      <c r="H538" s="4">
        <v>79000</v>
      </c>
      <c r="I538" s="4">
        <v>-10000</v>
      </c>
      <c r="J538" s="5">
        <f t="shared" si="8"/>
        <v>69000</v>
      </c>
    </row>
    <row r="539" spans="1:10" x14ac:dyDescent="0.25">
      <c r="A539" s="6">
        <v>546</v>
      </c>
      <c r="B539" t="s">
        <v>1865</v>
      </c>
      <c r="C539" t="s">
        <v>597</v>
      </c>
      <c r="D539" t="s">
        <v>102</v>
      </c>
      <c r="E539" t="str">
        <f>VLOOKUP(D539,'Tên SP'!B$2:C$1070,2,0)</f>
        <v>NƯỚC GIẶT LIX HƯƠNG NƯỚC HOA 3,5KG/T04 TÚI</v>
      </c>
      <c r="F539" s="4">
        <v>88000</v>
      </c>
      <c r="G539">
        <v>1</v>
      </c>
      <c r="H539" s="4">
        <v>88000</v>
      </c>
      <c r="I539" s="4">
        <v>-10000</v>
      </c>
      <c r="J539" s="5">
        <f t="shared" si="8"/>
        <v>78000</v>
      </c>
    </row>
    <row r="540" spans="1:10" x14ac:dyDescent="0.25">
      <c r="A540" s="6">
        <v>547</v>
      </c>
      <c r="B540" t="s">
        <v>1866</v>
      </c>
      <c r="C540" t="s">
        <v>598</v>
      </c>
      <c r="D540" t="s">
        <v>102</v>
      </c>
      <c r="E540" t="str">
        <f>VLOOKUP(D540,'Tên SP'!B$2:C$1070,2,0)</f>
        <v>NƯỚC GIẶT LIX HƯƠNG NƯỚC HOA 3,5KG/T04 TÚI</v>
      </c>
      <c r="F540" s="4">
        <v>88000</v>
      </c>
      <c r="G540">
        <v>1</v>
      </c>
      <c r="H540" s="4">
        <v>88000</v>
      </c>
      <c r="I540" s="4">
        <v>-10000</v>
      </c>
      <c r="J540" s="5">
        <f t="shared" si="8"/>
        <v>78000</v>
      </c>
    </row>
    <row r="541" spans="1:10" x14ac:dyDescent="0.25">
      <c r="A541" s="6">
        <v>548</v>
      </c>
      <c r="B541" t="s">
        <v>1867</v>
      </c>
      <c r="C541" t="s">
        <v>599</v>
      </c>
      <c r="D541" t="s">
        <v>9</v>
      </c>
      <c r="E541" t="str">
        <f>VLOOKUP(D541,'Tên SP'!B$2:C$1070,2,0)</f>
        <v>NƯỚC GIẶT LIX ĐẬM ĐẶC 3,5KG/T04 TÚI</v>
      </c>
      <c r="F541" s="4">
        <v>88000</v>
      </c>
      <c r="G541">
        <v>1</v>
      </c>
      <c r="H541" s="4">
        <v>88000</v>
      </c>
      <c r="I541" s="4">
        <v>0</v>
      </c>
      <c r="J541" s="5">
        <f t="shared" si="8"/>
        <v>88000</v>
      </c>
    </row>
    <row r="542" spans="1:10" x14ac:dyDescent="0.25">
      <c r="A542" s="6">
        <v>549</v>
      </c>
      <c r="B542" t="s">
        <v>1868</v>
      </c>
      <c r="C542" t="s">
        <v>600</v>
      </c>
      <c r="D542" t="s">
        <v>102</v>
      </c>
      <c r="E542" t="str">
        <f>VLOOKUP(D542,'Tên SP'!B$2:C$1070,2,0)</f>
        <v>NƯỚC GIẶT LIX HƯƠNG NƯỚC HOA 3,5KG/T04 TÚI</v>
      </c>
      <c r="F542" s="4">
        <v>88000</v>
      </c>
      <c r="G542">
        <v>1</v>
      </c>
      <c r="H542" s="4">
        <v>88000</v>
      </c>
      <c r="I542" s="4">
        <v>-10000</v>
      </c>
      <c r="J542" s="5">
        <f t="shared" si="8"/>
        <v>78000</v>
      </c>
    </row>
    <row r="543" spans="1:10" x14ac:dyDescent="0.25">
      <c r="A543" s="6">
        <v>550</v>
      </c>
      <c r="B543" t="s">
        <v>1869</v>
      </c>
      <c r="C543" t="s">
        <v>601</v>
      </c>
      <c r="D543" t="s">
        <v>102</v>
      </c>
      <c r="E543" t="str">
        <f>VLOOKUP(D543,'Tên SP'!B$2:C$1070,2,0)</f>
        <v>NƯỚC GIẶT LIX HƯƠNG NƯỚC HOA 3,5KG/T04 TÚI</v>
      </c>
      <c r="F543" s="4">
        <v>88000</v>
      </c>
      <c r="G543">
        <v>1</v>
      </c>
      <c r="H543" s="4">
        <v>88000</v>
      </c>
      <c r="I543" s="4">
        <v>-10000</v>
      </c>
      <c r="J543" s="5">
        <f t="shared" si="8"/>
        <v>78000</v>
      </c>
    </row>
    <row r="544" spans="1:10" x14ac:dyDescent="0.25">
      <c r="A544" s="6">
        <v>551</v>
      </c>
      <c r="B544" t="s">
        <v>1870</v>
      </c>
      <c r="C544" t="s">
        <v>602</v>
      </c>
      <c r="D544" t="s">
        <v>9</v>
      </c>
      <c r="E544" t="str">
        <f>VLOOKUP(D544,'Tên SP'!B$2:C$1070,2,0)</f>
        <v>NƯỚC GIẶT LIX ĐẬM ĐẶC 3,5KG/T04 TÚI</v>
      </c>
      <c r="F544" s="4">
        <v>88000</v>
      </c>
      <c r="G544">
        <v>1</v>
      </c>
      <c r="H544" s="4">
        <v>88000</v>
      </c>
      <c r="I544" s="4">
        <v>0</v>
      </c>
      <c r="J544" s="5">
        <f t="shared" si="8"/>
        <v>88000</v>
      </c>
    </row>
    <row r="545" spans="1:10" x14ac:dyDescent="0.25">
      <c r="A545" s="6">
        <v>552</v>
      </c>
      <c r="B545" t="s">
        <v>1871</v>
      </c>
      <c r="C545" t="s">
        <v>603</v>
      </c>
      <c r="D545" t="s">
        <v>28</v>
      </c>
      <c r="E545" t="str">
        <f>VLOOKUP(D545,'Tên SP'!B$2:C$1070,2,0)</f>
        <v>NƯỚC XẢ VẢI LIXSOFT HƯƠNG HOA HỒNG 3,6L/C04</v>
      </c>
      <c r="F545" s="4">
        <v>79000</v>
      </c>
      <c r="G545">
        <v>1</v>
      </c>
      <c r="H545" s="4">
        <v>79000</v>
      </c>
      <c r="I545" s="4">
        <v>0</v>
      </c>
      <c r="J545" s="5">
        <f t="shared" si="8"/>
        <v>79000</v>
      </c>
    </row>
    <row r="546" spans="1:10" x14ac:dyDescent="0.25">
      <c r="A546" s="6">
        <v>553</v>
      </c>
      <c r="B546" t="s">
        <v>1872</v>
      </c>
      <c r="C546" t="s">
        <v>604</v>
      </c>
      <c r="D546" t="s">
        <v>106</v>
      </c>
      <c r="E546" t="str">
        <f>VLOOKUP(D546,'Tên SP'!B$2:C$1070,2,0)</f>
        <v>NƯỚC GIẶT LIX SIÊU SẠCH HOA ANH ĐÀO 2.4KG/T06</v>
      </c>
      <c r="F546" s="4">
        <v>67200</v>
      </c>
      <c r="G546">
        <v>1</v>
      </c>
      <c r="H546" s="4">
        <v>67200</v>
      </c>
      <c r="I546" s="4">
        <v>-2513</v>
      </c>
      <c r="J546" s="5">
        <f t="shared" si="8"/>
        <v>64687</v>
      </c>
    </row>
    <row r="547" spans="1:10" x14ac:dyDescent="0.25">
      <c r="A547" s="6">
        <v>554</v>
      </c>
      <c r="B547" t="s">
        <v>1872</v>
      </c>
      <c r="C547" t="s">
        <v>604</v>
      </c>
      <c r="D547" t="s">
        <v>71</v>
      </c>
      <c r="E547" t="str">
        <f>VLOOKUP(D547,'Tên SP'!B$2:C$1070,2,0)</f>
        <v>NƯỚC RỬA CHÉN SIÊU SẠCH CHANH 3,5KG/T04- TÚI</v>
      </c>
      <c r="F547" s="4">
        <v>70000</v>
      </c>
      <c r="G547">
        <v>1</v>
      </c>
      <c r="H547" s="4">
        <v>70000</v>
      </c>
      <c r="I547" s="4">
        <v>-2617</v>
      </c>
      <c r="J547" s="5">
        <f t="shared" si="8"/>
        <v>67383</v>
      </c>
    </row>
    <row r="548" spans="1:10" x14ac:dyDescent="0.25">
      <c r="A548" s="6">
        <v>555</v>
      </c>
      <c r="B548" t="s">
        <v>1872</v>
      </c>
      <c r="C548" t="s">
        <v>604</v>
      </c>
      <c r="D548" t="s">
        <v>102</v>
      </c>
      <c r="E548" t="str">
        <f>VLOOKUP(D548,'Tên SP'!B$2:C$1070,2,0)</f>
        <v>NƯỚC GIẶT LIX HƯƠNG NƯỚC HOA 3,5KG/T04 TÚI</v>
      </c>
      <c r="F548" s="4">
        <v>88000</v>
      </c>
      <c r="G548">
        <v>1</v>
      </c>
      <c r="H548" s="4">
        <v>88000</v>
      </c>
      <c r="I548" s="4">
        <v>-3290</v>
      </c>
      <c r="J548" s="5">
        <f t="shared" si="8"/>
        <v>84710</v>
      </c>
    </row>
    <row r="549" spans="1:10" x14ac:dyDescent="0.25">
      <c r="A549" s="6">
        <v>556</v>
      </c>
      <c r="B549" t="s">
        <v>1872</v>
      </c>
      <c r="C549" t="s">
        <v>604</v>
      </c>
      <c r="D549" t="s">
        <v>102</v>
      </c>
      <c r="E549" t="str">
        <f>VLOOKUP(D549,'Tên SP'!B$2:C$1070,2,0)</f>
        <v>NƯỚC GIẶT LIX HƯƠNG NƯỚC HOA 3,5KG/T04 TÚI</v>
      </c>
      <c r="F549" s="4">
        <v>88000</v>
      </c>
      <c r="G549">
        <v>1</v>
      </c>
      <c r="H549" s="4">
        <v>88000</v>
      </c>
      <c r="I549" s="4">
        <v>-3290</v>
      </c>
      <c r="J549" s="5">
        <f t="shared" si="8"/>
        <v>84710</v>
      </c>
    </row>
    <row r="550" spans="1:10" x14ac:dyDescent="0.25">
      <c r="A550" s="6">
        <v>557</v>
      </c>
      <c r="B550" t="s">
        <v>1872</v>
      </c>
      <c r="C550" t="s">
        <v>604</v>
      </c>
      <c r="D550" t="s">
        <v>9</v>
      </c>
      <c r="E550" t="str">
        <f>VLOOKUP(D550,'Tên SP'!B$2:C$1070,2,0)</f>
        <v>NƯỚC GIẶT LIX ĐẬM ĐẶC 3,5KG/T04 TÚI</v>
      </c>
      <c r="F550" s="4">
        <v>88000</v>
      </c>
      <c r="G550">
        <v>1</v>
      </c>
      <c r="H550" s="4">
        <v>88000</v>
      </c>
      <c r="I550" s="4">
        <v>-3290</v>
      </c>
      <c r="J550" s="5">
        <f t="shared" si="8"/>
        <v>84710</v>
      </c>
    </row>
    <row r="551" spans="1:10" x14ac:dyDescent="0.25">
      <c r="A551" s="6">
        <v>558</v>
      </c>
      <c r="B551" t="s">
        <v>1873</v>
      </c>
      <c r="C551" t="s">
        <v>605</v>
      </c>
      <c r="D551" t="s">
        <v>9</v>
      </c>
      <c r="E551" t="str">
        <f>VLOOKUP(D551,'Tên SP'!B$2:C$1070,2,0)</f>
        <v>NƯỚC GIẶT LIX ĐẬM ĐẶC 3,5KG/T04 TÚI</v>
      </c>
      <c r="F551" s="4">
        <v>88000</v>
      </c>
      <c r="G551">
        <v>1</v>
      </c>
      <c r="H551" s="4">
        <v>88000</v>
      </c>
      <c r="I551" s="4">
        <v>0</v>
      </c>
      <c r="J551" s="5">
        <f t="shared" si="8"/>
        <v>88000</v>
      </c>
    </row>
    <row r="552" spans="1:10" x14ac:dyDescent="0.25">
      <c r="A552" s="6">
        <v>559</v>
      </c>
      <c r="B552" t="s">
        <v>1873</v>
      </c>
      <c r="C552" t="s">
        <v>605</v>
      </c>
      <c r="D552" t="s">
        <v>9</v>
      </c>
      <c r="E552" t="str">
        <f>VLOOKUP(D552,'Tên SP'!B$2:C$1070,2,0)</f>
        <v>NƯỚC GIẶT LIX ĐẬM ĐẶC 3,5KG/T04 TÚI</v>
      </c>
      <c r="F552" s="4">
        <v>88000</v>
      </c>
      <c r="G552">
        <v>1</v>
      </c>
      <c r="H552" s="4">
        <v>88000</v>
      </c>
      <c r="I552" s="4">
        <v>0</v>
      </c>
      <c r="J552" s="5">
        <f t="shared" si="8"/>
        <v>88000</v>
      </c>
    </row>
    <row r="553" spans="1:10" x14ac:dyDescent="0.25">
      <c r="A553" s="6">
        <v>560</v>
      </c>
      <c r="B553" t="s">
        <v>1873</v>
      </c>
      <c r="C553" t="s">
        <v>605</v>
      </c>
      <c r="D553" t="s">
        <v>9</v>
      </c>
      <c r="E553" t="str">
        <f>VLOOKUP(D553,'Tên SP'!B$2:C$1070,2,0)</f>
        <v>NƯỚC GIẶT LIX ĐẬM ĐẶC 3,5KG/T04 TÚI</v>
      </c>
      <c r="F553" s="4">
        <v>88000</v>
      </c>
      <c r="G553">
        <v>1</v>
      </c>
      <c r="H553" s="4">
        <v>88000</v>
      </c>
      <c r="I553" s="4">
        <v>0</v>
      </c>
      <c r="J553" s="5">
        <f t="shared" si="8"/>
        <v>88000</v>
      </c>
    </row>
    <row r="554" spans="1:10" x14ac:dyDescent="0.25">
      <c r="A554" s="6">
        <v>561</v>
      </c>
      <c r="B554" t="s">
        <v>1873</v>
      </c>
      <c r="C554" t="s">
        <v>605</v>
      </c>
      <c r="D554" t="s">
        <v>9</v>
      </c>
      <c r="E554" t="str">
        <f>VLOOKUP(D554,'Tên SP'!B$2:C$1070,2,0)</f>
        <v>NƯỚC GIẶT LIX ĐẬM ĐẶC 3,5KG/T04 TÚI</v>
      </c>
      <c r="F554" s="4">
        <v>88000</v>
      </c>
      <c r="G554">
        <v>1</v>
      </c>
      <c r="H554" s="4">
        <v>88000</v>
      </c>
      <c r="I554" s="4">
        <v>0</v>
      </c>
      <c r="J554" s="5">
        <f t="shared" si="8"/>
        <v>88000</v>
      </c>
    </row>
    <row r="555" spans="1:10" x14ac:dyDescent="0.25">
      <c r="A555" s="6">
        <v>562</v>
      </c>
      <c r="B555" t="s">
        <v>1874</v>
      </c>
      <c r="C555" t="s">
        <v>606</v>
      </c>
      <c r="D555" t="s">
        <v>102</v>
      </c>
      <c r="E555" t="str">
        <f>VLOOKUP(D555,'Tên SP'!B$2:C$1070,2,0)</f>
        <v>NƯỚC GIẶT LIX HƯƠNG NƯỚC HOA 3,5KG/T04 TÚI</v>
      </c>
      <c r="F555" s="4">
        <v>88000</v>
      </c>
      <c r="G555">
        <v>1</v>
      </c>
      <c r="H555" s="4">
        <v>88000</v>
      </c>
      <c r="I555" s="4">
        <v>0</v>
      </c>
      <c r="J555" s="5">
        <f t="shared" si="8"/>
        <v>88000</v>
      </c>
    </row>
    <row r="556" spans="1:10" x14ac:dyDescent="0.25">
      <c r="A556" s="6">
        <v>563</v>
      </c>
      <c r="B556" t="s">
        <v>1875</v>
      </c>
      <c r="C556" t="s">
        <v>607</v>
      </c>
      <c r="D556" t="s">
        <v>9</v>
      </c>
      <c r="E556" t="str">
        <f>VLOOKUP(D556,'Tên SP'!B$2:C$1070,2,0)</f>
        <v>NƯỚC GIẶT LIX ĐẬM ĐẶC 3,5KG/T04 TÚI</v>
      </c>
      <c r="F556" s="4">
        <v>88000</v>
      </c>
      <c r="G556">
        <v>1</v>
      </c>
      <c r="H556" s="4">
        <v>88000</v>
      </c>
      <c r="I556" s="4">
        <v>-10000</v>
      </c>
      <c r="J556" s="5">
        <f t="shared" si="8"/>
        <v>78000</v>
      </c>
    </row>
    <row r="557" spans="1:10" x14ac:dyDescent="0.25">
      <c r="A557" s="6">
        <v>564</v>
      </c>
      <c r="B557" t="s">
        <v>1876</v>
      </c>
      <c r="C557" t="s">
        <v>608</v>
      </c>
      <c r="D557" t="s">
        <v>9</v>
      </c>
      <c r="E557" t="str">
        <f>VLOOKUP(D557,'Tên SP'!B$2:C$1070,2,0)</f>
        <v>NƯỚC GIẶT LIX ĐẬM ĐẶC 3,5KG/T04 TÚI</v>
      </c>
      <c r="F557" s="4">
        <v>88000</v>
      </c>
      <c r="G557">
        <v>1</v>
      </c>
      <c r="H557" s="4">
        <v>88000</v>
      </c>
      <c r="I557" s="4">
        <v>-3750</v>
      </c>
      <c r="J557" s="5">
        <f t="shared" si="8"/>
        <v>84250</v>
      </c>
    </row>
    <row r="558" spans="1:10" x14ac:dyDescent="0.25">
      <c r="A558" s="6">
        <v>565</v>
      </c>
      <c r="B558" t="s">
        <v>1876</v>
      </c>
      <c r="C558" t="s">
        <v>608</v>
      </c>
      <c r="D558" t="s">
        <v>9</v>
      </c>
      <c r="E558" t="str">
        <f>VLOOKUP(D558,'Tên SP'!B$2:C$1070,2,0)</f>
        <v>NƯỚC GIẶT LIX ĐẬM ĐẶC 3,5KG/T04 TÚI</v>
      </c>
      <c r="F558" s="4">
        <v>88000</v>
      </c>
      <c r="G558">
        <v>1</v>
      </c>
      <c r="H558" s="4">
        <v>88000</v>
      </c>
      <c r="I558" s="4">
        <v>-3750</v>
      </c>
      <c r="J558" s="5">
        <f t="shared" si="8"/>
        <v>84250</v>
      </c>
    </row>
    <row r="559" spans="1:10" x14ac:dyDescent="0.25">
      <c r="A559" s="6">
        <v>566</v>
      </c>
      <c r="B559" t="s">
        <v>1876</v>
      </c>
      <c r="C559" t="s">
        <v>608</v>
      </c>
      <c r="D559" t="s">
        <v>9</v>
      </c>
      <c r="E559" t="str">
        <f>VLOOKUP(D559,'Tên SP'!B$2:C$1070,2,0)</f>
        <v>NƯỚC GIẶT LIX ĐẬM ĐẶC 3,5KG/T04 TÚI</v>
      </c>
      <c r="F559" s="4">
        <v>88000</v>
      </c>
      <c r="G559">
        <v>1</v>
      </c>
      <c r="H559" s="4">
        <v>88000</v>
      </c>
      <c r="I559" s="4">
        <v>-3750</v>
      </c>
      <c r="J559" s="5">
        <f t="shared" si="8"/>
        <v>84250</v>
      </c>
    </row>
    <row r="560" spans="1:10" x14ac:dyDescent="0.25">
      <c r="A560" s="6">
        <v>567</v>
      </c>
      <c r="B560" t="s">
        <v>1876</v>
      </c>
      <c r="C560" t="s">
        <v>608</v>
      </c>
      <c r="D560" t="s">
        <v>9</v>
      </c>
      <c r="E560" t="str">
        <f>VLOOKUP(D560,'Tên SP'!B$2:C$1070,2,0)</f>
        <v>NƯỚC GIẶT LIX ĐẬM ĐẶC 3,5KG/T04 TÚI</v>
      </c>
      <c r="F560" s="4">
        <v>88000</v>
      </c>
      <c r="G560">
        <v>1</v>
      </c>
      <c r="H560" s="4">
        <v>88000</v>
      </c>
      <c r="I560" s="4">
        <v>-3750</v>
      </c>
      <c r="J560" s="5">
        <f t="shared" si="8"/>
        <v>84250</v>
      </c>
    </row>
    <row r="561" spans="1:10" x14ac:dyDescent="0.25">
      <c r="A561" s="6">
        <v>568</v>
      </c>
      <c r="B561" t="s">
        <v>1877</v>
      </c>
      <c r="C561" t="s">
        <v>609</v>
      </c>
      <c r="D561" t="s">
        <v>28</v>
      </c>
      <c r="E561" t="str">
        <f>VLOOKUP(D561,'Tên SP'!B$2:C$1070,2,0)</f>
        <v>NƯỚC XẢ VẢI LIXSOFT HƯƠNG HOA HỒNG 3,6L/C04</v>
      </c>
      <c r="F561" s="4">
        <v>79000</v>
      </c>
      <c r="G561">
        <v>1</v>
      </c>
      <c r="H561" s="4">
        <v>79000</v>
      </c>
      <c r="I561" s="4">
        <v>0</v>
      </c>
      <c r="J561" s="5">
        <f t="shared" si="8"/>
        <v>79000</v>
      </c>
    </row>
    <row r="562" spans="1:10" x14ac:dyDescent="0.25">
      <c r="A562" s="6">
        <v>569</v>
      </c>
      <c r="B562" t="s">
        <v>1878</v>
      </c>
      <c r="C562" t="s">
        <v>610</v>
      </c>
      <c r="D562" t="s">
        <v>9</v>
      </c>
      <c r="E562" t="str">
        <f>VLOOKUP(D562,'Tên SP'!B$2:C$1070,2,0)</f>
        <v>NƯỚC GIẶT LIX ĐẬM ĐẶC 3,5KG/T04 TÚI</v>
      </c>
      <c r="F562" s="4">
        <v>88000</v>
      </c>
      <c r="G562">
        <v>1</v>
      </c>
      <c r="H562" s="4">
        <v>88000</v>
      </c>
      <c r="I562" s="4">
        <v>0</v>
      </c>
      <c r="J562" s="5">
        <f t="shared" si="8"/>
        <v>88000</v>
      </c>
    </row>
    <row r="563" spans="1:10" x14ac:dyDescent="0.25">
      <c r="A563" s="6">
        <v>570</v>
      </c>
      <c r="B563" t="s">
        <v>1879</v>
      </c>
      <c r="C563" t="s">
        <v>611</v>
      </c>
      <c r="D563" t="s">
        <v>102</v>
      </c>
      <c r="E563" t="str">
        <f>VLOOKUP(D563,'Tên SP'!B$2:C$1070,2,0)</f>
        <v>NƯỚC GIẶT LIX HƯƠNG NƯỚC HOA 3,5KG/T04 TÚI</v>
      </c>
      <c r="F563" s="4">
        <v>88000</v>
      </c>
      <c r="G563">
        <v>1</v>
      </c>
      <c r="H563" s="4">
        <v>88000</v>
      </c>
      <c r="I563" s="4">
        <v>0</v>
      </c>
      <c r="J563" s="5">
        <f t="shared" si="8"/>
        <v>88000</v>
      </c>
    </row>
    <row r="564" spans="1:10" x14ac:dyDescent="0.25">
      <c r="A564" s="6">
        <v>571</v>
      </c>
      <c r="B564" t="s">
        <v>1880</v>
      </c>
      <c r="C564" t="s">
        <v>612</v>
      </c>
      <c r="D564" t="s">
        <v>28</v>
      </c>
      <c r="E564" t="str">
        <f>VLOOKUP(D564,'Tên SP'!B$2:C$1070,2,0)</f>
        <v>NƯỚC XẢ VẢI LIXSOFT HƯƠNG HOA HỒNG 3,6L/C04</v>
      </c>
      <c r="F564" s="4">
        <v>79000</v>
      </c>
      <c r="G564">
        <v>1</v>
      </c>
      <c r="H564" s="4">
        <v>79000</v>
      </c>
      <c r="I564" s="4">
        <v>0</v>
      </c>
      <c r="J564" s="5">
        <f t="shared" si="8"/>
        <v>79000</v>
      </c>
    </row>
    <row r="565" spans="1:10" x14ac:dyDescent="0.25">
      <c r="A565" s="6">
        <v>572</v>
      </c>
      <c r="B565" t="s">
        <v>1880</v>
      </c>
      <c r="C565" t="s">
        <v>613</v>
      </c>
      <c r="D565" t="s">
        <v>28</v>
      </c>
      <c r="E565" t="str">
        <f>VLOOKUP(D565,'Tên SP'!B$2:C$1070,2,0)</f>
        <v>NƯỚC XẢ VẢI LIXSOFT HƯƠNG HOA HỒNG 3,6L/C04</v>
      </c>
      <c r="F565" s="4">
        <v>79000</v>
      </c>
      <c r="G565">
        <v>1</v>
      </c>
      <c r="H565" s="4">
        <v>79000</v>
      </c>
      <c r="I565" s="4">
        <v>-10000</v>
      </c>
      <c r="J565" s="5">
        <f t="shared" si="8"/>
        <v>69000</v>
      </c>
    </row>
    <row r="566" spans="1:10" x14ac:dyDescent="0.25">
      <c r="A566" s="6">
        <v>573</v>
      </c>
      <c r="B566" t="s">
        <v>1881</v>
      </c>
      <c r="C566" t="s">
        <v>614</v>
      </c>
      <c r="D566" t="s">
        <v>9</v>
      </c>
      <c r="E566" t="str">
        <f>VLOOKUP(D566,'Tên SP'!B$2:C$1070,2,0)</f>
        <v>NƯỚC GIẶT LIX ĐẬM ĐẶC 3,5KG/T04 TÚI</v>
      </c>
      <c r="F566" s="4">
        <v>88000</v>
      </c>
      <c r="G566">
        <v>1</v>
      </c>
      <c r="H566" s="4">
        <v>88000</v>
      </c>
      <c r="I566" s="4">
        <v>0</v>
      </c>
      <c r="J566" s="5">
        <f t="shared" si="8"/>
        <v>88000</v>
      </c>
    </row>
    <row r="567" spans="1:10" x14ac:dyDescent="0.25">
      <c r="A567" s="6">
        <v>574</v>
      </c>
      <c r="B567" t="s">
        <v>1882</v>
      </c>
      <c r="C567" t="s">
        <v>615</v>
      </c>
      <c r="D567" t="s">
        <v>97</v>
      </c>
      <c r="E567" t="str">
        <f>VLOOKUP(D567,'Tên SP'!B$2:C$1070,2,0)</f>
        <v>NƯỚC GIẶT LIX ĐẬM ĐẶC 3,6KG/C04</v>
      </c>
      <c r="F567" s="4">
        <v>117000</v>
      </c>
      <c r="G567">
        <v>1</v>
      </c>
      <c r="H567" s="4">
        <v>117000</v>
      </c>
      <c r="I567" s="4">
        <v>-10000</v>
      </c>
      <c r="J567" s="5">
        <f t="shared" si="8"/>
        <v>107000</v>
      </c>
    </row>
    <row r="568" spans="1:10" x14ac:dyDescent="0.25">
      <c r="A568" s="6">
        <v>575</v>
      </c>
      <c r="B568" t="s">
        <v>1882</v>
      </c>
      <c r="C568" t="s">
        <v>616</v>
      </c>
      <c r="D568" t="s">
        <v>23</v>
      </c>
      <c r="E568" t="str">
        <f>VLOOKUP(D568,'Tên SP'!B$2:C$1070,2,0)</f>
        <v>NƯỚC XẢ VẢI LIXSOFT 3,6L/C04</v>
      </c>
      <c r="F568" s="4">
        <v>89700</v>
      </c>
      <c r="G568">
        <v>1</v>
      </c>
      <c r="H568" s="4">
        <v>89700</v>
      </c>
      <c r="I568" s="4">
        <v>0</v>
      </c>
      <c r="J568" s="5">
        <f t="shared" si="8"/>
        <v>89700</v>
      </c>
    </row>
    <row r="569" spans="1:10" x14ac:dyDescent="0.25">
      <c r="A569" s="6">
        <v>576</v>
      </c>
      <c r="B569" t="s">
        <v>1883</v>
      </c>
      <c r="C569" t="s">
        <v>617</v>
      </c>
      <c r="D569" t="s">
        <v>102</v>
      </c>
      <c r="E569" t="str">
        <f>VLOOKUP(D569,'Tên SP'!B$2:C$1070,2,0)</f>
        <v>NƯỚC GIẶT LIX HƯƠNG NƯỚC HOA 3,5KG/T04 TÚI</v>
      </c>
      <c r="F569" s="4">
        <v>88000</v>
      </c>
      <c r="G569">
        <v>1</v>
      </c>
      <c r="H569" s="4">
        <v>88000</v>
      </c>
      <c r="I569" s="4">
        <v>0</v>
      </c>
      <c r="J569" s="5">
        <f t="shared" si="8"/>
        <v>88000</v>
      </c>
    </row>
    <row r="570" spans="1:10" x14ac:dyDescent="0.25">
      <c r="A570" s="6">
        <v>577</v>
      </c>
      <c r="B570" t="s">
        <v>1883</v>
      </c>
      <c r="C570" t="s">
        <v>617</v>
      </c>
      <c r="D570" t="s">
        <v>102</v>
      </c>
      <c r="E570" t="str">
        <f>VLOOKUP(D570,'Tên SP'!B$2:C$1070,2,0)</f>
        <v>NƯỚC GIẶT LIX HƯƠNG NƯỚC HOA 3,5KG/T04 TÚI</v>
      </c>
      <c r="F570" s="4">
        <v>88000</v>
      </c>
      <c r="G570">
        <v>1</v>
      </c>
      <c r="H570" s="4">
        <v>88000</v>
      </c>
      <c r="I570" s="4">
        <v>0</v>
      </c>
      <c r="J570" s="5">
        <f t="shared" si="8"/>
        <v>88000</v>
      </c>
    </row>
    <row r="571" spans="1:10" x14ac:dyDescent="0.25">
      <c r="A571" s="6">
        <v>578</v>
      </c>
      <c r="B571" t="s">
        <v>1883</v>
      </c>
      <c r="C571" t="s">
        <v>618</v>
      </c>
      <c r="D571" t="s">
        <v>102</v>
      </c>
      <c r="E571" t="str">
        <f>VLOOKUP(D571,'Tên SP'!B$2:C$1070,2,0)</f>
        <v>NƯỚC GIẶT LIX HƯƠNG NƯỚC HOA 3,5KG/T04 TÚI</v>
      </c>
      <c r="F571" s="4">
        <v>88000</v>
      </c>
      <c r="G571">
        <v>1</v>
      </c>
      <c r="H571" s="4">
        <v>88000</v>
      </c>
      <c r="I571" s="4">
        <v>0</v>
      </c>
      <c r="J571" s="5">
        <f t="shared" ref="J571:J633" si="9">H571+I571</f>
        <v>88000</v>
      </c>
    </row>
    <row r="572" spans="1:10" x14ac:dyDescent="0.25">
      <c r="A572" s="6">
        <v>579</v>
      </c>
      <c r="B572" t="s">
        <v>1884</v>
      </c>
      <c r="C572" t="s">
        <v>619</v>
      </c>
      <c r="D572" t="s">
        <v>28</v>
      </c>
      <c r="E572" t="str">
        <f>VLOOKUP(D572,'Tên SP'!B$2:C$1070,2,0)</f>
        <v>NƯỚC XẢ VẢI LIXSOFT HƯƠNG HOA HỒNG 3,6L/C04</v>
      </c>
      <c r="F572" s="4">
        <v>79000</v>
      </c>
      <c r="G572">
        <v>1</v>
      </c>
      <c r="H572" s="4">
        <v>79000</v>
      </c>
      <c r="I572" s="4">
        <v>0</v>
      </c>
      <c r="J572" s="5">
        <f t="shared" si="9"/>
        <v>79000</v>
      </c>
    </row>
    <row r="573" spans="1:10" x14ac:dyDescent="0.25">
      <c r="A573" s="6">
        <v>580</v>
      </c>
      <c r="B573" t="s">
        <v>1885</v>
      </c>
      <c r="C573" t="s">
        <v>620</v>
      </c>
      <c r="D573" t="s">
        <v>28</v>
      </c>
      <c r="E573" t="str">
        <f>VLOOKUP(D573,'Tên SP'!B$2:C$1070,2,0)</f>
        <v>NƯỚC XẢ VẢI LIXSOFT HƯƠNG HOA HỒNG 3,6L/C04</v>
      </c>
      <c r="F573" s="4">
        <v>79000</v>
      </c>
      <c r="G573">
        <v>1</v>
      </c>
      <c r="H573" s="4">
        <v>79000</v>
      </c>
      <c r="I573" s="4">
        <v>0</v>
      </c>
      <c r="J573" s="5">
        <f t="shared" si="9"/>
        <v>79000</v>
      </c>
    </row>
    <row r="574" spans="1:10" x14ac:dyDescent="0.25">
      <c r="A574" s="6">
        <v>581</v>
      </c>
      <c r="B574" t="s">
        <v>1886</v>
      </c>
      <c r="C574" t="s">
        <v>621</v>
      </c>
      <c r="D574" t="s">
        <v>89</v>
      </c>
      <c r="E574" t="str">
        <f>VLOOKUP(D574,'Tên SP'!B$2:C$1070,2,0)</f>
        <v>NƯỚC RỬA CHÉN SIÊU SẠCH TRÀ 750G/CH12</v>
      </c>
      <c r="F574" s="4">
        <v>18400</v>
      </c>
      <c r="G574">
        <v>1</v>
      </c>
      <c r="H574" s="4">
        <v>18400</v>
      </c>
      <c r="I574" s="4">
        <v>0</v>
      </c>
      <c r="J574" s="5">
        <f t="shared" si="9"/>
        <v>18400</v>
      </c>
    </row>
    <row r="575" spans="1:10" x14ac:dyDescent="0.25">
      <c r="A575" s="6">
        <v>582</v>
      </c>
      <c r="B575" t="s">
        <v>1886</v>
      </c>
      <c r="C575" t="s">
        <v>621</v>
      </c>
      <c r="D575" t="s">
        <v>9</v>
      </c>
      <c r="E575" t="str">
        <f>VLOOKUP(D575,'Tên SP'!B$2:C$1070,2,0)</f>
        <v>NƯỚC GIẶT LIX ĐẬM ĐẶC 3,5KG/T04 TÚI</v>
      </c>
      <c r="F575" s="4">
        <v>88000</v>
      </c>
      <c r="G575">
        <v>1</v>
      </c>
      <c r="H575" s="4">
        <v>88000</v>
      </c>
      <c r="I575" s="4">
        <v>0</v>
      </c>
      <c r="J575" s="5">
        <f t="shared" si="9"/>
        <v>88000</v>
      </c>
    </row>
    <row r="576" spans="1:10" x14ac:dyDescent="0.25">
      <c r="A576" s="6">
        <v>583</v>
      </c>
      <c r="B576" t="s">
        <v>1887</v>
      </c>
      <c r="C576" t="s">
        <v>622</v>
      </c>
      <c r="D576" t="s">
        <v>102</v>
      </c>
      <c r="E576" t="str">
        <f>VLOOKUP(D576,'Tên SP'!B$2:C$1070,2,0)</f>
        <v>NƯỚC GIẶT LIX HƯƠNG NƯỚC HOA 3,5KG/T04 TÚI</v>
      </c>
      <c r="F576" s="4">
        <v>88000</v>
      </c>
      <c r="G576">
        <v>1</v>
      </c>
      <c r="H576" s="4">
        <v>88000</v>
      </c>
      <c r="I576" s="4">
        <v>-10000</v>
      </c>
      <c r="J576" s="5">
        <f t="shared" si="9"/>
        <v>78000</v>
      </c>
    </row>
    <row r="577" spans="1:10" x14ac:dyDescent="0.25">
      <c r="A577" s="6">
        <v>584</v>
      </c>
      <c r="B577" t="s">
        <v>1887</v>
      </c>
      <c r="C577" t="s">
        <v>623</v>
      </c>
      <c r="D577" t="s">
        <v>102</v>
      </c>
      <c r="E577" t="str">
        <f>VLOOKUP(D577,'Tên SP'!B$2:C$1070,2,0)</f>
        <v>NƯỚC GIẶT LIX HƯƠNG NƯỚC HOA 3,5KG/T04 TÚI</v>
      </c>
      <c r="F577" s="4">
        <v>88000</v>
      </c>
      <c r="G577">
        <v>1</v>
      </c>
      <c r="H577" s="4">
        <v>88000</v>
      </c>
      <c r="I577" s="4">
        <v>0</v>
      </c>
      <c r="J577" s="5">
        <f t="shared" si="9"/>
        <v>88000</v>
      </c>
    </row>
    <row r="578" spans="1:10" x14ac:dyDescent="0.25">
      <c r="A578" s="6">
        <v>585</v>
      </c>
      <c r="B578" t="s">
        <v>1887</v>
      </c>
      <c r="C578" t="s">
        <v>623</v>
      </c>
      <c r="D578" t="s">
        <v>102</v>
      </c>
      <c r="E578" t="str">
        <f>VLOOKUP(D578,'Tên SP'!B$2:C$1070,2,0)</f>
        <v>NƯỚC GIẶT LIX HƯƠNG NƯỚC HOA 3,5KG/T04 TÚI</v>
      </c>
      <c r="F578" s="4">
        <v>88000</v>
      </c>
      <c r="G578">
        <v>1</v>
      </c>
      <c r="H578" s="4">
        <v>88000</v>
      </c>
      <c r="I578" s="4">
        <v>0</v>
      </c>
      <c r="J578" s="5">
        <f t="shared" si="9"/>
        <v>88000</v>
      </c>
    </row>
    <row r="579" spans="1:10" x14ac:dyDescent="0.25">
      <c r="A579" s="6">
        <v>586</v>
      </c>
      <c r="B579" t="s">
        <v>1888</v>
      </c>
      <c r="C579" t="s">
        <v>624</v>
      </c>
      <c r="D579" t="s">
        <v>102</v>
      </c>
      <c r="E579" t="str">
        <f>VLOOKUP(D579,'Tên SP'!B$2:C$1070,2,0)</f>
        <v>NƯỚC GIẶT LIX HƯƠNG NƯỚC HOA 3,5KG/T04 TÚI</v>
      </c>
      <c r="F579" s="4">
        <v>88000</v>
      </c>
      <c r="G579">
        <v>1</v>
      </c>
      <c r="H579" s="4">
        <v>88000</v>
      </c>
      <c r="I579" s="4">
        <v>0</v>
      </c>
      <c r="J579" s="5">
        <f t="shared" si="9"/>
        <v>88000</v>
      </c>
    </row>
    <row r="580" spans="1:10" x14ac:dyDescent="0.25">
      <c r="A580" s="6">
        <v>587</v>
      </c>
      <c r="B580" t="s">
        <v>1889</v>
      </c>
      <c r="C580" t="s">
        <v>625</v>
      </c>
      <c r="D580" t="s">
        <v>28</v>
      </c>
      <c r="E580" t="str">
        <f>VLOOKUP(D580,'Tên SP'!B$2:C$1070,2,0)</f>
        <v>NƯỚC XẢ VẢI LIXSOFT HƯƠNG HOA HỒNG 3,6L/C04</v>
      </c>
      <c r="F580" s="4">
        <v>79000</v>
      </c>
      <c r="G580">
        <v>1</v>
      </c>
      <c r="H580" s="4">
        <v>79000</v>
      </c>
      <c r="I580" s="4">
        <v>0</v>
      </c>
      <c r="J580" s="5">
        <f t="shared" si="9"/>
        <v>79000</v>
      </c>
    </row>
    <row r="581" spans="1:10" x14ac:dyDescent="0.25">
      <c r="A581" s="6">
        <v>588</v>
      </c>
      <c r="B581" t="s">
        <v>1890</v>
      </c>
      <c r="C581" t="s">
        <v>626</v>
      </c>
      <c r="D581" t="s">
        <v>28</v>
      </c>
      <c r="E581" t="str">
        <f>VLOOKUP(D581,'Tên SP'!B$2:C$1070,2,0)</f>
        <v>NƯỚC XẢ VẢI LIXSOFT HƯƠNG HOA HỒNG 3,6L/C04</v>
      </c>
      <c r="F581" s="4">
        <v>79000</v>
      </c>
      <c r="G581">
        <v>1</v>
      </c>
      <c r="H581" s="4">
        <v>79000</v>
      </c>
      <c r="I581" s="4">
        <v>0</v>
      </c>
      <c r="J581" s="5">
        <f t="shared" si="9"/>
        <v>79000</v>
      </c>
    </row>
    <row r="582" spans="1:10" x14ac:dyDescent="0.25">
      <c r="A582" s="6">
        <v>589</v>
      </c>
      <c r="B582" t="s">
        <v>1891</v>
      </c>
      <c r="C582" t="s">
        <v>627</v>
      </c>
      <c r="D582" t="s">
        <v>9</v>
      </c>
      <c r="E582" t="str">
        <f>VLOOKUP(D582,'Tên SP'!B$2:C$1070,2,0)</f>
        <v>NƯỚC GIẶT LIX ĐẬM ĐẶC 3,5KG/T04 TÚI</v>
      </c>
      <c r="F582" s="4">
        <v>88000</v>
      </c>
      <c r="G582">
        <v>1</v>
      </c>
      <c r="H582" s="4">
        <v>88000</v>
      </c>
      <c r="I582" s="4">
        <v>-3750</v>
      </c>
      <c r="J582" s="5">
        <f t="shared" si="9"/>
        <v>84250</v>
      </c>
    </row>
    <row r="583" spans="1:10" x14ac:dyDescent="0.25">
      <c r="A583" s="6">
        <v>590</v>
      </c>
      <c r="B583" t="s">
        <v>1891</v>
      </c>
      <c r="C583" t="s">
        <v>627</v>
      </c>
      <c r="D583" t="s">
        <v>9</v>
      </c>
      <c r="E583" t="str">
        <f>VLOOKUP(D583,'Tên SP'!B$2:C$1070,2,0)</f>
        <v>NƯỚC GIẶT LIX ĐẬM ĐẶC 3,5KG/T04 TÚI</v>
      </c>
      <c r="F583" s="4">
        <v>88000</v>
      </c>
      <c r="G583">
        <v>1</v>
      </c>
      <c r="H583" s="4">
        <v>88000</v>
      </c>
      <c r="I583" s="4">
        <v>-3750</v>
      </c>
      <c r="J583" s="5">
        <f t="shared" si="9"/>
        <v>84250</v>
      </c>
    </row>
    <row r="584" spans="1:10" x14ac:dyDescent="0.25">
      <c r="A584" s="6">
        <v>591</v>
      </c>
      <c r="B584" t="s">
        <v>1891</v>
      </c>
      <c r="C584" t="s">
        <v>627</v>
      </c>
      <c r="D584" t="s">
        <v>102</v>
      </c>
      <c r="E584" t="str">
        <f>VLOOKUP(D584,'Tên SP'!B$2:C$1070,2,0)</f>
        <v>NƯỚC GIẶT LIX HƯƠNG NƯỚC HOA 3,5KG/T04 TÚI</v>
      </c>
      <c r="F584" s="4">
        <v>88000</v>
      </c>
      <c r="G584">
        <v>1</v>
      </c>
      <c r="H584" s="4">
        <v>88000</v>
      </c>
      <c r="I584" s="4">
        <v>-3750</v>
      </c>
      <c r="J584" s="5">
        <f t="shared" si="9"/>
        <v>84250</v>
      </c>
    </row>
    <row r="585" spans="1:10" x14ac:dyDescent="0.25">
      <c r="A585" s="6">
        <v>592</v>
      </c>
      <c r="B585" t="s">
        <v>1891</v>
      </c>
      <c r="C585" t="s">
        <v>627</v>
      </c>
      <c r="D585" t="s">
        <v>102</v>
      </c>
      <c r="E585" t="str">
        <f>VLOOKUP(D585,'Tên SP'!B$2:C$1070,2,0)</f>
        <v>NƯỚC GIẶT LIX HƯƠNG NƯỚC HOA 3,5KG/T04 TÚI</v>
      </c>
      <c r="F585" s="4">
        <v>88000</v>
      </c>
      <c r="G585">
        <v>1</v>
      </c>
      <c r="H585" s="4">
        <v>88000</v>
      </c>
      <c r="I585" s="4">
        <v>-3750</v>
      </c>
      <c r="J585" s="5">
        <f t="shared" si="9"/>
        <v>84250</v>
      </c>
    </row>
    <row r="586" spans="1:10" x14ac:dyDescent="0.25">
      <c r="A586" s="6">
        <v>593</v>
      </c>
      <c r="B586" t="s">
        <v>1892</v>
      </c>
      <c r="C586" t="s">
        <v>628</v>
      </c>
      <c r="D586" t="s">
        <v>95</v>
      </c>
      <c r="E586" t="str">
        <f>VLOOKUP(D586,'Tên SP'!B$2:C$1070,2,0)</f>
        <v>NƯỚC LAU SÀN LIX ĐUỐI CÔN TRÙNG 1L/CH12</v>
      </c>
      <c r="F586" s="4">
        <v>39000</v>
      </c>
      <c r="G586">
        <v>1</v>
      </c>
      <c r="H586" s="4">
        <v>39000</v>
      </c>
      <c r="I586" s="4">
        <v>-3071</v>
      </c>
      <c r="J586" s="5">
        <f t="shared" si="9"/>
        <v>35929</v>
      </c>
    </row>
    <row r="587" spans="1:10" x14ac:dyDescent="0.25">
      <c r="A587" s="6">
        <v>594</v>
      </c>
      <c r="B587" t="s">
        <v>1892</v>
      </c>
      <c r="C587" t="s">
        <v>628</v>
      </c>
      <c r="D587" t="s">
        <v>9</v>
      </c>
      <c r="E587" t="str">
        <f>VLOOKUP(D587,'Tên SP'!B$2:C$1070,2,0)</f>
        <v>NƯỚC GIẶT LIX ĐẬM ĐẶC 3,5KG/T04 TÚI</v>
      </c>
      <c r="F587" s="4">
        <v>88000</v>
      </c>
      <c r="G587">
        <v>1</v>
      </c>
      <c r="H587" s="4">
        <v>88000</v>
      </c>
      <c r="I587" s="4">
        <v>-6929</v>
      </c>
      <c r="J587" s="5">
        <f t="shared" si="9"/>
        <v>81071</v>
      </c>
    </row>
    <row r="588" spans="1:10" x14ac:dyDescent="0.25">
      <c r="A588" s="6">
        <v>595</v>
      </c>
      <c r="B588" t="s">
        <v>1893</v>
      </c>
      <c r="C588" t="s">
        <v>629</v>
      </c>
      <c r="D588" t="s">
        <v>102</v>
      </c>
      <c r="E588" t="str">
        <f>VLOOKUP(D588,'Tên SP'!B$2:C$1070,2,0)</f>
        <v>NƯỚC GIẶT LIX HƯƠNG NƯỚC HOA 3,5KG/T04 TÚI</v>
      </c>
      <c r="F588" s="4">
        <v>88000</v>
      </c>
      <c r="G588">
        <v>1</v>
      </c>
      <c r="H588" s="4">
        <v>88000</v>
      </c>
      <c r="I588" s="4">
        <v>0</v>
      </c>
      <c r="J588" s="5">
        <f t="shared" si="9"/>
        <v>88000</v>
      </c>
    </row>
    <row r="589" spans="1:10" x14ac:dyDescent="0.25">
      <c r="A589" s="6">
        <v>596</v>
      </c>
      <c r="B589" t="s">
        <v>1894</v>
      </c>
      <c r="C589" t="s">
        <v>630</v>
      </c>
      <c r="D589" t="s">
        <v>56</v>
      </c>
      <c r="E589" t="str">
        <f>VLOOKUP(D589,'Tên SP'!B$2:C$1070,2,0)</f>
        <v>BỘT GIẶT LIX ĐẬM ĐẶC 400G/24</v>
      </c>
      <c r="F589" s="4">
        <v>17400</v>
      </c>
      <c r="G589">
        <v>1</v>
      </c>
      <c r="H589" s="4">
        <v>17400</v>
      </c>
      <c r="I589" s="4">
        <v>-1651</v>
      </c>
      <c r="J589" s="5">
        <f t="shared" si="9"/>
        <v>15749</v>
      </c>
    </row>
    <row r="590" spans="1:10" x14ac:dyDescent="0.25">
      <c r="A590" s="6">
        <v>597</v>
      </c>
      <c r="B590" t="s">
        <v>1894</v>
      </c>
      <c r="C590" t="s">
        <v>630</v>
      </c>
      <c r="D590" t="s">
        <v>9</v>
      </c>
      <c r="E590" t="str">
        <f>VLOOKUP(D590,'Tên SP'!B$2:C$1070,2,0)</f>
        <v>NƯỚC GIẶT LIX ĐẬM ĐẶC 3,5KG/T04 TÚI</v>
      </c>
      <c r="F590" s="4">
        <v>88000</v>
      </c>
      <c r="G590">
        <v>1</v>
      </c>
      <c r="H590" s="4">
        <v>88000</v>
      </c>
      <c r="I590" s="4">
        <v>-8349</v>
      </c>
      <c r="J590" s="5">
        <f t="shared" si="9"/>
        <v>79651</v>
      </c>
    </row>
    <row r="591" spans="1:10" x14ac:dyDescent="0.25">
      <c r="A591" s="6">
        <v>598</v>
      </c>
      <c r="B591" t="s">
        <v>1895</v>
      </c>
      <c r="C591" t="s">
        <v>631</v>
      </c>
      <c r="D591" t="s">
        <v>102</v>
      </c>
      <c r="E591" t="str">
        <f>VLOOKUP(D591,'Tên SP'!B$2:C$1070,2,0)</f>
        <v>NƯỚC GIẶT LIX HƯƠNG NƯỚC HOA 3,5KG/T04 TÚI</v>
      </c>
      <c r="F591" s="4">
        <v>88000</v>
      </c>
      <c r="G591">
        <v>1</v>
      </c>
      <c r="H591" s="4">
        <v>88000</v>
      </c>
      <c r="I591" s="4">
        <v>0</v>
      </c>
      <c r="J591" s="5">
        <f t="shared" si="9"/>
        <v>88000</v>
      </c>
    </row>
    <row r="592" spans="1:10" x14ac:dyDescent="0.25">
      <c r="A592" s="6">
        <v>599</v>
      </c>
      <c r="B592" t="s">
        <v>1896</v>
      </c>
      <c r="C592" t="s">
        <v>632</v>
      </c>
      <c r="D592" t="s">
        <v>28</v>
      </c>
      <c r="E592" t="str">
        <f>VLOOKUP(D592,'Tên SP'!B$2:C$1070,2,0)</f>
        <v>NƯỚC XẢ VẢI LIXSOFT HƯƠNG HOA HỒNG 3,6L/C04</v>
      </c>
      <c r="F592" s="4">
        <v>79000</v>
      </c>
      <c r="G592">
        <v>1</v>
      </c>
      <c r="H592" s="4">
        <v>79000</v>
      </c>
      <c r="I592" s="4">
        <v>0</v>
      </c>
      <c r="J592" s="5">
        <f t="shared" si="9"/>
        <v>79000</v>
      </c>
    </row>
    <row r="593" spans="1:10" x14ac:dyDescent="0.25">
      <c r="A593" s="6">
        <v>600</v>
      </c>
      <c r="B593" t="s">
        <v>1897</v>
      </c>
      <c r="C593" t="s">
        <v>633</v>
      </c>
      <c r="D593" t="s">
        <v>102</v>
      </c>
      <c r="E593" t="str">
        <f>VLOOKUP(D593,'Tên SP'!B$2:C$1070,2,0)</f>
        <v>NƯỚC GIẶT LIX HƯƠNG NƯỚC HOA 3,5KG/T04 TÚI</v>
      </c>
      <c r="F593" s="4">
        <v>88000</v>
      </c>
      <c r="G593">
        <v>1</v>
      </c>
      <c r="H593" s="4">
        <v>88000</v>
      </c>
      <c r="I593" s="4">
        <v>-10000</v>
      </c>
      <c r="J593" s="5">
        <f t="shared" si="9"/>
        <v>78000</v>
      </c>
    </row>
    <row r="594" spans="1:10" x14ac:dyDescent="0.25">
      <c r="A594" s="6">
        <v>601</v>
      </c>
      <c r="B594" t="s">
        <v>1898</v>
      </c>
      <c r="C594" t="s">
        <v>634</v>
      </c>
      <c r="D594" t="s">
        <v>28</v>
      </c>
      <c r="E594" t="str">
        <f>VLOOKUP(D594,'Tên SP'!B$2:C$1070,2,0)</f>
        <v>NƯỚC XẢ VẢI LIXSOFT HƯƠNG HOA HỒNG 3,6L/C04</v>
      </c>
      <c r="F594" s="4">
        <v>79000</v>
      </c>
      <c r="G594">
        <v>1</v>
      </c>
      <c r="H594" s="4">
        <v>79000</v>
      </c>
      <c r="I594" s="4">
        <v>-10000</v>
      </c>
      <c r="J594" s="5">
        <f t="shared" si="9"/>
        <v>69000</v>
      </c>
    </row>
    <row r="595" spans="1:10" x14ac:dyDescent="0.25">
      <c r="A595" s="6">
        <v>602</v>
      </c>
      <c r="B595" t="s">
        <v>1899</v>
      </c>
      <c r="C595" t="s">
        <v>635</v>
      </c>
      <c r="D595" t="s">
        <v>9</v>
      </c>
      <c r="E595" t="str">
        <f>VLOOKUP(D595,'Tên SP'!B$2:C$1070,2,0)</f>
        <v>NƯỚC GIẶT LIX ĐẬM ĐẶC 3,5KG/T04 TÚI</v>
      </c>
      <c r="F595" s="4">
        <v>88000</v>
      </c>
      <c r="G595">
        <v>1</v>
      </c>
      <c r="H595" s="4">
        <v>88000</v>
      </c>
      <c r="I595" s="4">
        <v>0</v>
      </c>
      <c r="J595" s="5">
        <f t="shared" si="9"/>
        <v>88000</v>
      </c>
    </row>
    <row r="596" spans="1:10" x14ac:dyDescent="0.25">
      <c r="A596" s="6">
        <v>603</v>
      </c>
      <c r="B596" t="s">
        <v>1900</v>
      </c>
      <c r="C596" t="s">
        <v>636</v>
      </c>
      <c r="D596" t="s">
        <v>9</v>
      </c>
      <c r="E596" t="str">
        <f>VLOOKUP(D596,'Tên SP'!B$2:C$1070,2,0)</f>
        <v>NƯỚC GIẶT LIX ĐẬM ĐẶC 3,5KG/T04 TÚI</v>
      </c>
      <c r="F596" s="4">
        <v>88000</v>
      </c>
      <c r="G596">
        <v>1</v>
      </c>
      <c r="H596" s="4">
        <v>88000</v>
      </c>
      <c r="I596" s="4">
        <v>-10000</v>
      </c>
      <c r="J596" s="5">
        <f t="shared" si="9"/>
        <v>78000</v>
      </c>
    </row>
    <row r="597" spans="1:10" x14ac:dyDescent="0.25">
      <c r="A597" s="6">
        <v>604</v>
      </c>
      <c r="B597" t="s">
        <v>1901</v>
      </c>
      <c r="C597" t="s">
        <v>637</v>
      </c>
      <c r="D597" t="s">
        <v>28</v>
      </c>
      <c r="E597" t="str">
        <f>VLOOKUP(D597,'Tên SP'!B$2:C$1070,2,0)</f>
        <v>NƯỚC XẢ VẢI LIXSOFT HƯƠNG HOA HỒNG 3,6L/C04</v>
      </c>
      <c r="F597" s="4">
        <v>79000</v>
      </c>
      <c r="G597">
        <v>1</v>
      </c>
      <c r="H597" s="4">
        <v>79000</v>
      </c>
      <c r="I597" s="4">
        <v>0</v>
      </c>
      <c r="J597" s="5">
        <f t="shared" si="9"/>
        <v>79000</v>
      </c>
    </row>
    <row r="598" spans="1:10" x14ac:dyDescent="0.25">
      <c r="A598" s="6">
        <v>605</v>
      </c>
      <c r="B598" t="s">
        <v>1902</v>
      </c>
      <c r="C598" t="s">
        <v>638</v>
      </c>
      <c r="D598" t="s">
        <v>102</v>
      </c>
      <c r="E598" t="str">
        <f>VLOOKUP(D598,'Tên SP'!B$2:C$1070,2,0)</f>
        <v>NƯỚC GIẶT LIX HƯƠNG NƯỚC HOA 3,5KG/T04 TÚI</v>
      </c>
      <c r="F598" s="4">
        <v>88000</v>
      </c>
      <c r="G598">
        <v>1</v>
      </c>
      <c r="H598" s="4">
        <v>88000</v>
      </c>
      <c r="I598" s="4">
        <v>0</v>
      </c>
      <c r="J598" s="5">
        <f t="shared" si="9"/>
        <v>88000</v>
      </c>
    </row>
    <row r="599" spans="1:10" x14ac:dyDescent="0.25">
      <c r="A599" s="6">
        <v>606</v>
      </c>
      <c r="B599" t="s">
        <v>1903</v>
      </c>
      <c r="C599" t="s">
        <v>639</v>
      </c>
      <c r="D599" t="s">
        <v>28</v>
      </c>
      <c r="E599" t="str">
        <f>VLOOKUP(D599,'Tên SP'!B$2:C$1070,2,0)</f>
        <v>NƯỚC XẢ VẢI LIXSOFT HƯƠNG HOA HỒNG 3,6L/C04</v>
      </c>
      <c r="F599" s="4">
        <v>79000</v>
      </c>
      <c r="G599">
        <v>1</v>
      </c>
      <c r="H599" s="4">
        <v>79000</v>
      </c>
      <c r="I599" s="4">
        <v>-10000</v>
      </c>
      <c r="J599" s="5">
        <f t="shared" si="9"/>
        <v>69000</v>
      </c>
    </row>
    <row r="600" spans="1:10" x14ac:dyDescent="0.25">
      <c r="A600" s="6">
        <v>607</v>
      </c>
      <c r="B600" t="s">
        <v>1904</v>
      </c>
      <c r="C600" t="s">
        <v>640</v>
      </c>
      <c r="D600" t="s">
        <v>102</v>
      </c>
      <c r="E600" t="str">
        <f>VLOOKUP(D600,'Tên SP'!B$2:C$1070,2,0)</f>
        <v>NƯỚC GIẶT LIX HƯƠNG NƯỚC HOA 3,5KG/T04 TÚI</v>
      </c>
      <c r="F600" s="4">
        <v>88000</v>
      </c>
      <c r="G600">
        <v>1</v>
      </c>
      <c r="H600" s="4">
        <v>88000</v>
      </c>
      <c r="I600" s="4">
        <v>-10000</v>
      </c>
      <c r="J600" s="5">
        <f t="shared" si="9"/>
        <v>78000</v>
      </c>
    </row>
    <row r="601" spans="1:10" x14ac:dyDescent="0.25">
      <c r="A601" s="6">
        <v>608</v>
      </c>
      <c r="B601" t="s">
        <v>1905</v>
      </c>
      <c r="C601" t="s">
        <v>641</v>
      </c>
      <c r="D601" t="s">
        <v>31</v>
      </c>
      <c r="E601" t="str">
        <f>VLOOKUP(D601,'Tên SP'!B$2:C$1070,2,0)</f>
        <v>BỘT GIẶT LIXE 5,5KG/03</v>
      </c>
      <c r="F601" s="4">
        <v>133700</v>
      </c>
      <c r="G601">
        <v>1</v>
      </c>
      <c r="H601" s="4">
        <v>133700</v>
      </c>
      <c r="I601" s="4">
        <v>-10000</v>
      </c>
      <c r="J601" s="5">
        <f t="shared" si="9"/>
        <v>123700</v>
      </c>
    </row>
    <row r="602" spans="1:10" x14ac:dyDescent="0.25">
      <c r="A602" s="6">
        <v>609</v>
      </c>
      <c r="B602" t="s">
        <v>1906</v>
      </c>
      <c r="C602" t="s">
        <v>642</v>
      </c>
      <c r="D602" t="s">
        <v>28</v>
      </c>
      <c r="E602" t="str">
        <f>VLOOKUP(D602,'Tên SP'!B$2:C$1070,2,0)</f>
        <v>NƯỚC XẢ VẢI LIXSOFT HƯƠNG HOA HỒNG 3,6L/C04</v>
      </c>
      <c r="F602" s="4">
        <v>79000</v>
      </c>
      <c r="G602">
        <v>1</v>
      </c>
      <c r="H602" s="4">
        <v>79000</v>
      </c>
      <c r="I602" s="4">
        <v>-10000</v>
      </c>
      <c r="J602" s="5">
        <f t="shared" si="9"/>
        <v>69000</v>
      </c>
    </row>
    <row r="603" spans="1:10" x14ac:dyDescent="0.25">
      <c r="A603" s="6">
        <v>610</v>
      </c>
      <c r="B603" t="s">
        <v>1907</v>
      </c>
      <c r="C603" t="s">
        <v>643</v>
      </c>
      <c r="D603" t="s">
        <v>9</v>
      </c>
      <c r="E603" t="str">
        <f>VLOOKUP(D603,'Tên SP'!B$2:C$1070,2,0)</f>
        <v>NƯỚC GIẶT LIX ĐẬM ĐẶC 3,5KG/T04 TÚI</v>
      </c>
      <c r="F603" s="4">
        <v>88000</v>
      </c>
      <c r="G603">
        <v>1</v>
      </c>
      <c r="H603" s="4">
        <v>88000</v>
      </c>
      <c r="I603" s="4">
        <v>-10000</v>
      </c>
      <c r="J603" s="5">
        <f t="shared" si="9"/>
        <v>78000</v>
      </c>
    </row>
    <row r="604" spans="1:10" x14ac:dyDescent="0.25">
      <c r="A604" s="6">
        <v>611</v>
      </c>
      <c r="B604" t="s">
        <v>1908</v>
      </c>
      <c r="C604" t="s">
        <v>644</v>
      </c>
      <c r="D604" t="s">
        <v>23</v>
      </c>
      <c r="E604" t="str">
        <f>VLOOKUP(D604,'Tên SP'!B$2:C$1070,2,0)</f>
        <v>NƯỚC XẢ VẢI LIXSOFT 3,6L/C04</v>
      </c>
      <c r="F604" s="4">
        <v>89700</v>
      </c>
      <c r="G604">
        <v>1</v>
      </c>
      <c r="H604" s="4">
        <v>89700</v>
      </c>
      <c r="I604" s="4">
        <v>-10000</v>
      </c>
      <c r="J604" s="5">
        <f t="shared" si="9"/>
        <v>79700</v>
      </c>
    </row>
    <row r="605" spans="1:10" x14ac:dyDescent="0.25">
      <c r="A605" s="6">
        <v>612</v>
      </c>
      <c r="B605" t="s">
        <v>1909</v>
      </c>
      <c r="C605" t="s">
        <v>645</v>
      </c>
      <c r="D605" t="s">
        <v>102</v>
      </c>
      <c r="E605" t="str">
        <f>VLOOKUP(D605,'Tên SP'!B$2:C$1070,2,0)</f>
        <v>NƯỚC GIẶT LIX HƯƠNG NƯỚC HOA 3,5KG/T04 TÚI</v>
      </c>
      <c r="F605" s="4">
        <v>88000</v>
      </c>
      <c r="G605">
        <v>1</v>
      </c>
      <c r="H605" s="4">
        <v>88000</v>
      </c>
      <c r="I605" s="4">
        <v>0</v>
      </c>
      <c r="J605" s="5">
        <f t="shared" si="9"/>
        <v>88000</v>
      </c>
    </row>
    <row r="606" spans="1:10" x14ac:dyDescent="0.25">
      <c r="A606" s="6">
        <v>613</v>
      </c>
      <c r="B606" t="s">
        <v>1910</v>
      </c>
      <c r="C606" t="s">
        <v>646</v>
      </c>
      <c r="D606" t="s">
        <v>47</v>
      </c>
      <c r="E606" t="str">
        <f>VLOOKUP(D606,'Tên SP'!B$2:C$1070,2,0)</f>
        <v>BỘT GIẶT LIXE CHANH 2,4KG/05</v>
      </c>
      <c r="F606" s="4">
        <v>66900</v>
      </c>
      <c r="G606">
        <v>1</v>
      </c>
      <c r="H606" s="4">
        <v>66900</v>
      </c>
      <c r="I606" s="4">
        <v>-10000</v>
      </c>
      <c r="J606" s="5">
        <f t="shared" si="9"/>
        <v>56900</v>
      </c>
    </row>
    <row r="607" spans="1:10" x14ac:dyDescent="0.25">
      <c r="A607" s="6">
        <v>614</v>
      </c>
      <c r="B607" t="s">
        <v>1911</v>
      </c>
      <c r="C607" t="s">
        <v>647</v>
      </c>
      <c r="D607" t="s">
        <v>102</v>
      </c>
      <c r="E607" t="str">
        <f>VLOOKUP(D607,'Tên SP'!B$2:C$1070,2,0)</f>
        <v>NƯỚC GIẶT LIX HƯƠNG NƯỚC HOA 3,5KG/T04 TÚI</v>
      </c>
      <c r="F607" s="4">
        <v>88000</v>
      </c>
      <c r="G607">
        <v>1</v>
      </c>
      <c r="H607" s="4">
        <v>88000</v>
      </c>
      <c r="I607" s="4">
        <v>-10000</v>
      </c>
      <c r="J607" s="5">
        <f t="shared" si="9"/>
        <v>78000</v>
      </c>
    </row>
    <row r="608" spans="1:10" x14ac:dyDescent="0.25">
      <c r="A608" s="6">
        <v>615</v>
      </c>
      <c r="B608" t="s">
        <v>1912</v>
      </c>
      <c r="C608" t="s">
        <v>648</v>
      </c>
      <c r="D608" t="s">
        <v>102</v>
      </c>
      <c r="E608" t="str">
        <f>VLOOKUP(D608,'Tên SP'!B$2:C$1070,2,0)</f>
        <v>NƯỚC GIẶT LIX HƯƠNG NƯỚC HOA 3,5KG/T04 TÚI</v>
      </c>
      <c r="F608" s="4">
        <v>88000</v>
      </c>
      <c r="G608">
        <v>1</v>
      </c>
      <c r="H608" s="4">
        <v>88000</v>
      </c>
      <c r="I608" s="4">
        <v>0</v>
      </c>
      <c r="J608" s="5">
        <f t="shared" si="9"/>
        <v>88000</v>
      </c>
    </row>
    <row r="609" spans="1:10" x14ac:dyDescent="0.25">
      <c r="A609" s="6">
        <v>616</v>
      </c>
      <c r="B609" t="s">
        <v>1913</v>
      </c>
      <c r="C609" t="s">
        <v>649</v>
      </c>
      <c r="D609" t="s">
        <v>9</v>
      </c>
      <c r="E609" t="str">
        <f>VLOOKUP(D609,'Tên SP'!B$2:C$1070,2,0)</f>
        <v>NƯỚC GIẶT LIX ĐẬM ĐẶC 3,5KG/T04 TÚI</v>
      </c>
      <c r="F609" s="4">
        <v>88000</v>
      </c>
      <c r="G609">
        <v>1</v>
      </c>
      <c r="H609" s="4">
        <v>88000</v>
      </c>
      <c r="I609" s="4">
        <v>0</v>
      </c>
      <c r="J609" s="5">
        <f t="shared" si="9"/>
        <v>88000</v>
      </c>
    </row>
    <row r="610" spans="1:10" x14ac:dyDescent="0.25">
      <c r="A610" s="6">
        <v>617</v>
      </c>
      <c r="B610" t="s">
        <v>1914</v>
      </c>
      <c r="C610" t="s">
        <v>650</v>
      </c>
      <c r="D610" t="s">
        <v>102</v>
      </c>
      <c r="E610" t="str">
        <f>VLOOKUP(D610,'Tên SP'!B$2:C$1070,2,0)</f>
        <v>NƯỚC GIẶT LIX HƯƠNG NƯỚC HOA 3,5KG/T04 TÚI</v>
      </c>
      <c r="F610" s="4">
        <v>88000</v>
      </c>
      <c r="G610">
        <v>1</v>
      </c>
      <c r="H610" s="4">
        <v>88000</v>
      </c>
      <c r="I610" s="4">
        <v>-10000</v>
      </c>
      <c r="J610" s="5">
        <f t="shared" si="9"/>
        <v>78000</v>
      </c>
    </row>
    <row r="611" spans="1:10" x14ac:dyDescent="0.25">
      <c r="A611" s="6">
        <v>618</v>
      </c>
      <c r="B611" t="s">
        <v>1915</v>
      </c>
      <c r="C611" t="s">
        <v>651</v>
      </c>
      <c r="D611" t="s">
        <v>102</v>
      </c>
      <c r="E611" t="str">
        <f>VLOOKUP(D611,'Tên SP'!B$2:C$1070,2,0)</f>
        <v>NƯỚC GIẶT LIX HƯƠNG NƯỚC HOA 3,5KG/T04 TÚI</v>
      </c>
      <c r="F611" s="4">
        <v>88000</v>
      </c>
      <c r="G611">
        <v>1</v>
      </c>
      <c r="H611" s="4">
        <v>88000</v>
      </c>
      <c r="I611" s="4">
        <v>0</v>
      </c>
      <c r="J611" s="5">
        <f t="shared" si="9"/>
        <v>88000</v>
      </c>
    </row>
    <row r="612" spans="1:10" x14ac:dyDescent="0.25">
      <c r="A612" s="6">
        <v>619</v>
      </c>
      <c r="B612" t="s">
        <v>1916</v>
      </c>
      <c r="C612" t="s">
        <v>652</v>
      </c>
      <c r="D612" t="s">
        <v>9</v>
      </c>
      <c r="E612" t="str">
        <f>VLOOKUP(D612,'Tên SP'!B$2:C$1070,2,0)</f>
        <v>NƯỚC GIẶT LIX ĐẬM ĐẶC 3,5KG/T04 TÚI</v>
      </c>
      <c r="F612" s="4">
        <v>88000</v>
      </c>
      <c r="G612">
        <v>1</v>
      </c>
      <c r="H612" s="4">
        <v>88000</v>
      </c>
      <c r="I612" s="4">
        <v>-10000</v>
      </c>
      <c r="J612" s="5">
        <f t="shared" si="9"/>
        <v>78000</v>
      </c>
    </row>
    <row r="613" spans="1:10" x14ac:dyDescent="0.25">
      <c r="A613" s="6">
        <v>620</v>
      </c>
      <c r="B613" t="s">
        <v>1917</v>
      </c>
      <c r="C613" t="s">
        <v>653</v>
      </c>
      <c r="D613" t="s">
        <v>102</v>
      </c>
      <c r="E613" t="str">
        <f>VLOOKUP(D613,'Tên SP'!B$2:C$1070,2,0)</f>
        <v>NƯỚC GIẶT LIX HƯƠNG NƯỚC HOA 3,5KG/T04 TÚI</v>
      </c>
      <c r="F613" s="4">
        <v>88000</v>
      </c>
      <c r="G613">
        <v>1</v>
      </c>
      <c r="H613" s="4">
        <v>88000</v>
      </c>
      <c r="I613" s="4">
        <v>0</v>
      </c>
      <c r="J613" s="5">
        <f t="shared" si="9"/>
        <v>88000</v>
      </c>
    </row>
    <row r="614" spans="1:10" x14ac:dyDescent="0.25">
      <c r="A614" s="6">
        <v>621</v>
      </c>
      <c r="B614" t="s">
        <v>1918</v>
      </c>
      <c r="C614" t="s">
        <v>654</v>
      </c>
      <c r="D614" t="s">
        <v>28</v>
      </c>
      <c r="E614" t="str">
        <f>VLOOKUP(D614,'Tên SP'!B$2:C$1070,2,0)</f>
        <v>NƯỚC XẢ VẢI LIXSOFT HƯƠNG HOA HỒNG 3,6L/C04</v>
      </c>
      <c r="F614" s="4">
        <v>79000</v>
      </c>
      <c r="G614">
        <v>1</v>
      </c>
      <c r="H614" s="4">
        <v>79000</v>
      </c>
      <c r="I614" s="4">
        <v>-10000</v>
      </c>
      <c r="J614" s="5">
        <f t="shared" si="9"/>
        <v>69000</v>
      </c>
    </row>
    <row r="615" spans="1:10" x14ac:dyDescent="0.25">
      <c r="A615" s="6">
        <v>622</v>
      </c>
      <c r="B615" t="s">
        <v>1919</v>
      </c>
      <c r="C615" t="s">
        <v>655</v>
      </c>
      <c r="D615" t="s">
        <v>9</v>
      </c>
      <c r="E615" t="str">
        <f>VLOOKUP(D615,'Tên SP'!B$2:C$1070,2,0)</f>
        <v>NƯỚC GIẶT LIX ĐẬM ĐẶC 3,5KG/T04 TÚI</v>
      </c>
      <c r="F615" s="4">
        <v>88000</v>
      </c>
      <c r="G615">
        <v>1</v>
      </c>
      <c r="H615" s="4">
        <v>88000</v>
      </c>
      <c r="I615" s="4">
        <v>-10000</v>
      </c>
      <c r="J615" s="5">
        <f t="shared" si="9"/>
        <v>78000</v>
      </c>
    </row>
    <row r="616" spans="1:10" x14ac:dyDescent="0.25">
      <c r="A616" s="6">
        <v>623</v>
      </c>
      <c r="B616" t="s">
        <v>1920</v>
      </c>
      <c r="C616" t="s">
        <v>656</v>
      </c>
      <c r="D616" t="s">
        <v>9</v>
      </c>
      <c r="E616" t="str">
        <f>VLOOKUP(D616,'Tên SP'!B$2:C$1070,2,0)</f>
        <v>NƯỚC GIẶT LIX ĐẬM ĐẶC 3,5KG/T04 TÚI</v>
      </c>
      <c r="F616" s="4">
        <v>88000</v>
      </c>
      <c r="G616">
        <v>1</v>
      </c>
      <c r="H616" s="4">
        <v>88000</v>
      </c>
      <c r="I616" s="4">
        <v>0</v>
      </c>
      <c r="J616" s="5">
        <f t="shared" si="9"/>
        <v>88000</v>
      </c>
    </row>
    <row r="617" spans="1:10" x14ac:dyDescent="0.25">
      <c r="A617" s="6">
        <v>624</v>
      </c>
      <c r="B617" t="s">
        <v>1921</v>
      </c>
      <c r="C617" t="s">
        <v>657</v>
      </c>
      <c r="D617" t="s">
        <v>102</v>
      </c>
      <c r="E617" t="str">
        <f>VLOOKUP(D617,'Tên SP'!B$2:C$1070,2,0)</f>
        <v>NƯỚC GIẶT LIX HƯƠNG NƯỚC HOA 3,5KG/T04 TÚI</v>
      </c>
      <c r="F617" s="4">
        <v>88000</v>
      </c>
      <c r="G617">
        <v>1</v>
      </c>
      <c r="H617" s="4">
        <v>88000</v>
      </c>
      <c r="I617" s="4">
        <v>0</v>
      </c>
      <c r="J617" s="5">
        <f t="shared" si="9"/>
        <v>88000</v>
      </c>
    </row>
    <row r="618" spans="1:10" x14ac:dyDescent="0.25">
      <c r="A618" s="6">
        <v>625</v>
      </c>
      <c r="B618" t="s">
        <v>1922</v>
      </c>
      <c r="C618" t="s">
        <v>658</v>
      </c>
      <c r="D618" t="s">
        <v>97</v>
      </c>
      <c r="E618" t="str">
        <f>VLOOKUP(D618,'Tên SP'!B$2:C$1070,2,0)</f>
        <v>NƯỚC GIẶT LIX ĐẬM ĐẶC 3,6KG/C04</v>
      </c>
      <c r="F618" s="4">
        <v>108000</v>
      </c>
      <c r="G618">
        <v>1</v>
      </c>
      <c r="H618" s="4">
        <v>108000</v>
      </c>
      <c r="I618" s="4">
        <v>0</v>
      </c>
      <c r="J618" s="5">
        <f t="shared" si="9"/>
        <v>108000</v>
      </c>
    </row>
    <row r="619" spans="1:10" x14ac:dyDescent="0.25">
      <c r="A619" s="6">
        <v>626</v>
      </c>
      <c r="B619" t="s">
        <v>1923</v>
      </c>
      <c r="C619" t="s">
        <v>659</v>
      </c>
      <c r="D619" t="s">
        <v>9</v>
      </c>
      <c r="E619" t="str">
        <f>VLOOKUP(D619,'Tên SP'!B$2:C$1070,2,0)</f>
        <v>NƯỚC GIẶT LIX ĐẬM ĐẶC 3,5KG/T04 TÚI</v>
      </c>
      <c r="F619" s="4">
        <v>91350</v>
      </c>
      <c r="G619">
        <v>1</v>
      </c>
      <c r="H619" s="4">
        <v>91350</v>
      </c>
      <c r="I619" s="4">
        <v>-10000</v>
      </c>
      <c r="J619" s="5">
        <f t="shared" si="9"/>
        <v>81350</v>
      </c>
    </row>
    <row r="620" spans="1:10" x14ac:dyDescent="0.25">
      <c r="A620" s="6">
        <v>627</v>
      </c>
      <c r="B620" t="s">
        <v>1924</v>
      </c>
      <c r="C620" t="s">
        <v>660</v>
      </c>
      <c r="D620" t="s">
        <v>28</v>
      </c>
      <c r="E620" t="str">
        <f>VLOOKUP(D620,'Tên SP'!B$2:C$1070,2,0)</f>
        <v>NƯỚC XẢ VẢI LIXSOFT HƯƠNG HOA HỒNG 3,6L/C04</v>
      </c>
      <c r="F620" s="4">
        <v>79000</v>
      </c>
      <c r="G620">
        <v>1</v>
      </c>
      <c r="H620" s="4">
        <v>79000</v>
      </c>
      <c r="I620" s="4">
        <v>0</v>
      </c>
      <c r="J620" s="5">
        <f t="shared" si="9"/>
        <v>79000</v>
      </c>
    </row>
    <row r="621" spans="1:10" x14ac:dyDescent="0.25">
      <c r="A621" s="6">
        <v>628</v>
      </c>
      <c r="B621" t="s">
        <v>1925</v>
      </c>
      <c r="C621" t="s">
        <v>661</v>
      </c>
      <c r="D621" t="s">
        <v>28</v>
      </c>
      <c r="E621" t="str">
        <f>VLOOKUP(D621,'Tên SP'!B$2:C$1070,2,0)</f>
        <v>NƯỚC XẢ VẢI LIXSOFT HƯƠNG HOA HỒNG 3,6L/C04</v>
      </c>
      <c r="F621" s="4">
        <v>79000</v>
      </c>
      <c r="G621">
        <v>1</v>
      </c>
      <c r="H621" s="4">
        <v>79000</v>
      </c>
      <c r="I621" s="4">
        <v>0</v>
      </c>
      <c r="J621" s="5">
        <f t="shared" si="9"/>
        <v>79000</v>
      </c>
    </row>
    <row r="622" spans="1:10" x14ac:dyDescent="0.25">
      <c r="A622" s="6">
        <v>629</v>
      </c>
      <c r="B622" t="s">
        <v>1926</v>
      </c>
      <c r="C622" t="s">
        <v>662</v>
      </c>
      <c r="D622" t="s">
        <v>9</v>
      </c>
      <c r="E622" t="str">
        <f>VLOOKUP(D622,'Tên SP'!B$2:C$1070,2,0)</f>
        <v>NƯỚC GIẶT LIX ĐẬM ĐẶC 3,5KG/T04 TÚI</v>
      </c>
      <c r="F622" s="4">
        <v>91350</v>
      </c>
      <c r="G622">
        <v>1</v>
      </c>
      <c r="H622" s="4">
        <v>91350</v>
      </c>
      <c r="I622" s="4">
        <v>-10000</v>
      </c>
      <c r="J622" s="5">
        <f t="shared" si="9"/>
        <v>81350</v>
      </c>
    </row>
    <row r="623" spans="1:10" x14ac:dyDescent="0.25">
      <c r="A623" s="6">
        <v>630</v>
      </c>
      <c r="B623" t="s">
        <v>1927</v>
      </c>
      <c r="C623" t="s">
        <v>663</v>
      </c>
      <c r="D623" t="s">
        <v>28</v>
      </c>
      <c r="E623" t="str">
        <f>VLOOKUP(D623,'Tên SP'!B$2:C$1070,2,0)</f>
        <v>NƯỚC XẢ VẢI LIXSOFT HƯƠNG HOA HỒNG 3,6L/C04</v>
      </c>
      <c r="F623" s="4">
        <v>79000</v>
      </c>
      <c r="G623">
        <v>1</v>
      </c>
      <c r="H623" s="4">
        <v>79000</v>
      </c>
      <c r="I623" s="4">
        <v>0</v>
      </c>
      <c r="J623" s="5">
        <f t="shared" si="9"/>
        <v>79000</v>
      </c>
    </row>
    <row r="624" spans="1:10" x14ac:dyDescent="0.25">
      <c r="A624" s="6">
        <v>631</v>
      </c>
      <c r="B624" t="s">
        <v>1928</v>
      </c>
      <c r="C624" t="s">
        <v>664</v>
      </c>
      <c r="D624" t="s">
        <v>9</v>
      </c>
      <c r="E624" t="str">
        <f>VLOOKUP(D624,'Tên SP'!B$2:C$1070,2,0)</f>
        <v>NƯỚC GIẶT LIX ĐẬM ĐẶC 3,5KG/T04 TÚI</v>
      </c>
      <c r="F624" s="4">
        <v>91350</v>
      </c>
      <c r="G624">
        <v>1</v>
      </c>
      <c r="H624" s="4">
        <v>91350</v>
      </c>
      <c r="I624" s="4">
        <v>-5245</v>
      </c>
      <c r="J624" s="5">
        <f t="shared" si="9"/>
        <v>86105</v>
      </c>
    </row>
    <row r="625" spans="1:10" x14ac:dyDescent="0.25">
      <c r="A625" s="6">
        <v>632</v>
      </c>
      <c r="B625" t="s">
        <v>1928</v>
      </c>
      <c r="C625" t="s">
        <v>664</v>
      </c>
      <c r="D625" t="s">
        <v>23</v>
      </c>
      <c r="E625" t="str">
        <f>VLOOKUP(D625,'Tên SP'!B$2:C$1070,2,0)</f>
        <v>NƯỚC XẢ VẢI LIXSOFT 3,6L/C04</v>
      </c>
      <c r="F625" s="4">
        <v>82800</v>
      </c>
      <c r="G625">
        <v>1</v>
      </c>
      <c r="H625" s="4">
        <v>82800</v>
      </c>
      <c r="I625" s="4">
        <v>-4755</v>
      </c>
      <c r="J625" s="5">
        <f t="shared" si="9"/>
        <v>78045</v>
      </c>
    </row>
    <row r="626" spans="1:10" x14ac:dyDescent="0.25">
      <c r="A626" s="6">
        <v>633</v>
      </c>
      <c r="B626" t="s">
        <v>1929</v>
      </c>
      <c r="C626" t="s">
        <v>665</v>
      </c>
      <c r="D626" t="s">
        <v>102</v>
      </c>
      <c r="E626" t="str">
        <f>VLOOKUP(D626,'Tên SP'!B$2:C$1070,2,0)</f>
        <v>NƯỚC GIẶT LIX HƯƠNG NƯỚC HOA 3,5KG/T04 TÚI</v>
      </c>
      <c r="F626" s="4">
        <v>94500</v>
      </c>
      <c r="G626">
        <v>1</v>
      </c>
      <c r="H626" s="4">
        <v>94500</v>
      </c>
      <c r="I626" s="4">
        <v>-10000</v>
      </c>
      <c r="J626" s="5">
        <f t="shared" si="9"/>
        <v>84500</v>
      </c>
    </row>
    <row r="627" spans="1:10" x14ac:dyDescent="0.25">
      <c r="A627" s="6">
        <v>634</v>
      </c>
      <c r="B627" t="s">
        <v>1930</v>
      </c>
      <c r="C627" t="s">
        <v>666</v>
      </c>
      <c r="D627" t="s">
        <v>2744</v>
      </c>
      <c r="E627" t="str">
        <f>VLOOKUP(D627,'Tên SP'!B$2:C$1070,2,0)</f>
        <v>NƯỚC GIẶT LIX MATIC HƯƠNG NƯỚC HOA 3,6KG/C04</v>
      </c>
      <c r="F627" s="4">
        <v>122800</v>
      </c>
      <c r="G627">
        <v>1</v>
      </c>
      <c r="H627" s="4">
        <v>122800</v>
      </c>
      <c r="I627" s="4">
        <v>-10000</v>
      </c>
      <c r="J627" s="5">
        <f t="shared" si="9"/>
        <v>112800</v>
      </c>
    </row>
    <row r="628" spans="1:10" x14ac:dyDescent="0.25">
      <c r="A628" s="6">
        <v>635</v>
      </c>
      <c r="B628" t="s">
        <v>1931</v>
      </c>
      <c r="C628" t="s">
        <v>667</v>
      </c>
      <c r="D628" t="s">
        <v>23</v>
      </c>
      <c r="E628" t="str">
        <f>VLOOKUP(D628,'Tên SP'!B$2:C$1070,2,0)</f>
        <v>NƯỚC XẢ VẢI LIXSOFT 3,6L/C04</v>
      </c>
      <c r="F628" s="4">
        <v>82800</v>
      </c>
      <c r="G628">
        <v>1</v>
      </c>
      <c r="H628" s="4">
        <v>82800</v>
      </c>
      <c r="I628" s="4">
        <v>0</v>
      </c>
      <c r="J628" s="5">
        <f t="shared" si="9"/>
        <v>82800</v>
      </c>
    </row>
    <row r="629" spans="1:10" x14ac:dyDescent="0.25">
      <c r="A629" s="6">
        <v>637</v>
      </c>
      <c r="B629" t="s">
        <v>1932</v>
      </c>
      <c r="C629" t="s">
        <v>668</v>
      </c>
      <c r="D629" t="s">
        <v>22</v>
      </c>
      <c r="E629" t="str">
        <f>VLOOKUP(D629,'Tên SP'!B$2:C$1070,2,0)</f>
        <v>NƯỚC TẨY JAVEL LIX 1KG/CH12</v>
      </c>
      <c r="F629" s="4">
        <v>30600</v>
      </c>
      <c r="G629">
        <v>1</v>
      </c>
      <c r="H629" s="4">
        <v>30600</v>
      </c>
      <c r="I629" s="4">
        <v>-1224</v>
      </c>
      <c r="J629" s="5">
        <f t="shared" si="9"/>
        <v>29376</v>
      </c>
    </row>
    <row r="630" spans="1:10" x14ac:dyDescent="0.25">
      <c r="A630" s="6">
        <v>638</v>
      </c>
      <c r="B630" t="s">
        <v>1933</v>
      </c>
      <c r="C630" t="s">
        <v>669</v>
      </c>
      <c r="D630" t="s">
        <v>28</v>
      </c>
      <c r="E630" t="str">
        <f>VLOOKUP(D630,'Tên SP'!B$2:C$1070,2,0)</f>
        <v>NƯỚC XẢ VẢI LIXSOFT HƯƠNG HOA HỒNG 3,6L/C04</v>
      </c>
      <c r="F630" s="4">
        <v>79000</v>
      </c>
      <c r="G630">
        <v>1</v>
      </c>
      <c r="H630" s="4">
        <v>79000</v>
      </c>
      <c r="I630" s="4">
        <v>-10000</v>
      </c>
      <c r="J630" s="5">
        <f t="shared" si="9"/>
        <v>69000</v>
      </c>
    </row>
    <row r="631" spans="1:10" x14ac:dyDescent="0.25">
      <c r="A631" s="6">
        <v>639</v>
      </c>
      <c r="B631" t="s">
        <v>1934</v>
      </c>
      <c r="C631" t="s">
        <v>670</v>
      </c>
      <c r="D631" t="s">
        <v>102</v>
      </c>
      <c r="E631" t="str">
        <f>VLOOKUP(D631,'Tên SP'!B$2:C$1070,2,0)</f>
        <v>NƯỚC GIẶT LIX HƯƠNG NƯỚC HOA 3,5KG/T04 TÚI</v>
      </c>
      <c r="F631" s="4">
        <v>94500</v>
      </c>
      <c r="G631">
        <v>1</v>
      </c>
      <c r="H631" s="4">
        <v>94500</v>
      </c>
      <c r="I631" s="4">
        <v>0</v>
      </c>
      <c r="J631" s="5">
        <f t="shared" si="9"/>
        <v>94500</v>
      </c>
    </row>
    <row r="632" spans="1:10" x14ac:dyDescent="0.25">
      <c r="A632" s="6">
        <v>640</v>
      </c>
      <c r="B632" t="s">
        <v>1935</v>
      </c>
      <c r="C632" t="s">
        <v>671</v>
      </c>
      <c r="D632" t="s">
        <v>28</v>
      </c>
      <c r="E632" t="str">
        <f>VLOOKUP(D632,'Tên SP'!B$2:C$1070,2,0)</f>
        <v>NƯỚC XẢ VẢI LIXSOFT HƯƠNG HOA HỒNG 3,6L/C04</v>
      </c>
      <c r="F632" s="4">
        <v>79000</v>
      </c>
      <c r="G632">
        <v>1</v>
      </c>
      <c r="H632" s="4">
        <v>79000</v>
      </c>
      <c r="I632" s="4">
        <v>-10000</v>
      </c>
      <c r="J632" s="5">
        <f t="shared" si="9"/>
        <v>69000</v>
      </c>
    </row>
    <row r="633" spans="1:10" x14ac:dyDescent="0.25">
      <c r="A633" s="6">
        <v>641</v>
      </c>
      <c r="B633" t="s">
        <v>1936</v>
      </c>
      <c r="C633" t="s">
        <v>672</v>
      </c>
      <c r="D633" t="s">
        <v>9</v>
      </c>
      <c r="E633" t="str">
        <f>VLOOKUP(D633,'Tên SP'!B$2:C$1070,2,0)</f>
        <v>NƯỚC GIẶT LIX ĐẬM ĐẶC 3,5KG/T04 TÚI</v>
      </c>
      <c r="F633" s="4">
        <v>94500</v>
      </c>
      <c r="G633">
        <v>1</v>
      </c>
      <c r="H633" s="4">
        <v>94500</v>
      </c>
      <c r="I633" s="4">
        <v>0</v>
      </c>
      <c r="J633" s="5">
        <f t="shared" si="9"/>
        <v>94500</v>
      </c>
    </row>
    <row r="634" spans="1:10" x14ac:dyDescent="0.25">
      <c r="A634" s="6">
        <v>642</v>
      </c>
      <c r="B634" t="s">
        <v>1937</v>
      </c>
      <c r="C634" t="s">
        <v>673</v>
      </c>
      <c r="D634" t="s">
        <v>75</v>
      </c>
      <c r="E634" t="str">
        <f>VLOOKUP(D634,'Tên SP'!B$2:C$1070,2,0)</f>
        <v>NƯỚC RỬA CHÉN SIÊU SẠCH CHANH 3,6KG/C04</v>
      </c>
      <c r="F634" s="4">
        <v>71100</v>
      </c>
      <c r="G634">
        <v>1</v>
      </c>
      <c r="H634" s="4">
        <v>71100</v>
      </c>
      <c r="I634" s="4">
        <v>0</v>
      </c>
      <c r="J634" s="5">
        <f t="shared" ref="J634:J697" si="10">H634+I634</f>
        <v>71100</v>
      </c>
    </row>
    <row r="635" spans="1:10" x14ac:dyDescent="0.25">
      <c r="A635" s="6">
        <v>643</v>
      </c>
      <c r="B635" t="s">
        <v>1938</v>
      </c>
      <c r="C635" t="s">
        <v>674</v>
      </c>
      <c r="D635" t="s">
        <v>28</v>
      </c>
      <c r="E635" t="str">
        <f>VLOOKUP(D635,'Tên SP'!B$2:C$1070,2,0)</f>
        <v>NƯỚC XẢ VẢI LIXSOFT HƯƠNG HOA HỒNG 3,6L/C04</v>
      </c>
      <c r="F635" s="4">
        <v>79000</v>
      </c>
      <c r="G635">
        <v>1</v>
      </c>
      <c r="H635" s="4">
        <v>79000</v>
      </c>
      <c r="I635" s="4">
        <v>0</v>
      </c>
      <c r="J635" s="5">
        <f t="shared" si="10"/>
        <v>79000</v>
      </c>
    </row>
    <row r="636" spans="1:10" x14ac:dyDescent="0.25">
      <c r="A636" s="6">
        <v>644</v>
      </c>
      <c r="B636" t="s">
        <v>1939</v>
      </c>
      <c r="C636" t="s">
        <v>675</v>
      </c>
      <c r="D636" t="s">
        <v>102</v>
      </c>
      <c r="E636" t="str">
        <f>VLOOKUP(D636,'Tên SP'!B$2:C$1070,2,0)</f>
        <v>NƯỚC GIẶT LIX HƯƠNG NƯỚC HOA 3,5KG/T04 TÚI</v>
      </c>
      <c r="F636" s="4">
        <v>94500</v>
      </c>
      <c r="G636">
        <v>1</v>
      </c>
      <c r="H636" s="4">
        <v>94500</v>
      </c>
      <c r="I636" s="4">
        <v>0</v>
      </c>
      <c r="J636" s="5">
        <f t="shared" si="10"/>
        <v>94500</v>
      </c>
    </row>
    <row r="637" spans="1:10" x14ac:dyDescent="0.25">
      <c r="A637" s="6">
        <v>645</v>
      </c>
      <c r="B637" t="s">
        <v>1940</v>
      </c>
      <c r="C637" t="s">
        <v>676</v>
      </c>
      <c r="D637" t="s">
        <v>28</v>
      </c>
      <c r="E637" t="str">
        <f>VLOOKUP(D637,'Tên SP'!B$2:C$1070,2,0)</f>
        <v>NƯỚC XẢ VẢI LIXSOFT HƯƠNG HOA HỒNG 3,6L/C04</v>
      </c>
      <c r="F637" s="4">
        <v>79000</v>
      </c>
      <c r="G637">
        <v>1</v>
      </c>
      <c r="H637" s="4">
        <v>79000</v>
      </c>
      <c r="I637" s="4">
        <v>0</v>
      </c>
      <c r="J637" s="5">
        <f t="shared" si="10"/>
        <v>79000</v>
      </c>
    </row>
    <row r="638" spans="1:10" x14ac:dyDescent="0.25">
      <c r="A638" s="6">
        <v>646</v>
      </c>
      <c r="B638" t="s">
        <v>1941</v>
      </c>
      <c r="C638" t="s">
        <v>677</v>
      </c>
      <c r="D638" t="s">
        <v>75</v>
      </c>
      <c r="E638" t="str">
        <f>VLOOKUP(D638,'Tên SP'!B$2:C$1070,2,0)</f>
        <v>NƯỚC RỬA CHÉN SIÊU SẠCH CHANH 3,6KG/C04</v>
      </c>
      <c r="F638" s="4">
        <v>71100</v>
      </c>
      <c r="G638">
        <v>1</v>
      </c>
      <c r="H638" s="4">
        <v>71100</v>
      </c>
      <c r="I638" s="4">
        <v>0</v>
      </c>
      <c r="J638" s="5">
        <f t="shared" si="10"/>
        <v>71100</v>
      </c>
    </row>
    <row r="639" spans="1:10" x14ac:dyDescent="0.25">
      <c r="A639" s="6">
        <v>647</v>
      </c>
      <c r="B639" t="s">
        <v>1942</v>
      </c>
      <c r="C639" t="s">
        <v>678</v>
      </c>
      <c r="D639" t="s">
        <v>28</v>
      </c>
      <c r="E639" t="str">
        <f>VLOOKUP(D639,'Tên SP'!B$2:C$1070,2,0)</f>
        <v>NƯỚC XẢ VẢI LIXSOFT HƯƠNG HOA HỒNG 3,6L/C04</v>
      </c>
      <c r="F639" s="4">
        <v>79000</v>
      </c>
      <c r="G639">
        <v>1</v>
      </c>
      <c r="H639" s="4">
        <v>79000</v>
      </c>
      <c r="I639" s="4">
        <v>0</v>
      </c>
      <c r="J639" s="5">
        <f t="shared" si="10"/>
        <v>79000</v>
      </c>
    </row>
    <row r="640" spans="1:10" x14ac:dyDescent="0.25">
      <c r="A640" s="6">
        <v>648</v>
      </c>
      <c r="B640" t="s">
        <v>1943</v>
      </c>
      <c r="C640" t="s">
        <v>679</v>
      </c>
      <c r="D640" t="s">
        <v>28</v>
      </c>
      <c r="E640" t="str">
        <f>VLOOKUP(D640,'Tên SP'!B$2:C$1070,2,0)</f>
        <v>NƯỚC XẢ VẢI LIXSOFT HƯƠNG HOA HỒNG 3,6L/C04</v>
      </c>
      <c r="F640" s="4">
        <v>79000</v>
      </c>
      <c r="G640">
        <v>1</v>
      </c>
      <c r="H640" s="4">
        <v>79000</v>
      </c>
      <c r="I640" s="4">
        <v>0</v>
      </c>
      <c r="J640" s="5">
        <f t="shared" si="10"/>
        <v>79000</v>
      </c>
    </row>
    <row r="641" spans="1:10" x14ac:dyDescent="0.25">
      <c r="A641" s="6">
        <v>649</v>
      </c>
      <c r="B641" t="s">
        <v>1944</v>
      </c>
      <c r="C641" t="s">
        <v>680</v>
      </c>
      <c r="D641" t="s">
        <v>28</v>
      </c>
      <c r="E641" t="str">
        <f>VLOOKUP(D641,'Tên SP'!B$2:C$1070,2,0)</f>
        <v>NƯỚC XẢ VẢI LIXSOFT HƯƠNG HOA HỒNG 3,6L/C04</v>
      </c>
      <c r="F641" s="4">
        <v>79000</v>
      </c>
      <c r="G641">
        <v>1</v>
      </c>
      <c r="H641" s="4">
        <v>79000</v>
      </c>
      <c r="I641" s="4">
        <v>-10000</v>
      </c>
      <c r="J641" s="5">
        <f t="shared" si="10"/>
        <v>69000</v>
      </c>
    </row>
    <row r="642" spans="1:10" x14ac:dyDescent="0.25">
      <c r="A642" s="6">
        <v>650</v>
      </c>
      <c r="B642" t="s">
        <v>1945</v>
      </c>
      <c r="C642" t="s">
        <v>681</v>
      </c>
      <c r="D642" t="s">
        <v>23</v>
      </c>
      <c r="E642" t="str">
        <f>VLOOKUP(D642,'Tên SP'!B$2:C$1070,2,0)</f>
        <v>NƯỚC XẢ VẢI LIXSOFT 3,6L/C04</v>
      </c>
      <c r="F642" s="4">
        <v>82800</v>
      </c>
      <c r="G642">
        <v>1</v>
      </c>
      <c r="H642" s="4">
        <v>82800</v>
      </c>
      <c r="I642" s="4">
        <v>-10000</v>
      </c>
      <c r="J642" s="5">
        <f t="shared" si="10"/>
        <v>72800</v>
      </c>
    </row>
    <row r="643" spans="1:10" x14ac:dyDescent="0.25">
      <c r="A643" s="6">
        <v>651</v>
      </c>
      <c r="B643" t="s">
        <v>1946</v>
      </c>
      <c r="C643" t="s">
        <v>682</v>
      </c>
      <c r="D643" t="s">
        <v>28</v>
      </c>
      <c r="E643" t="str">
        <f>VLOOKUP(D643,'Tên SP'!B$2:C$1070,2,0)</f>
        <v>NƯỚC XẢ VẢI LIXSOFT HƯƠNG HOA HỒNG 3,6L/C04</v>
      </c>
      <c r="F643" s="4">
        <v>79000</v>
      </c>
      <c r="G643">
        <v>1</v>
      </c>
      <c r="H643" s="4">
        <v>79000</v>
      </c>
      <c r="I643" s="4">
        <v>-10000</v>
      </c>
      <c r="J643" s="5">
        <f t="shared" si="10"/>
        <v>69000</v>
      </c>
    </row>
    <row r="644" spans="1:10" x14ac:dyDescent="0.25">
      <c r="A644" s="6">
        <v>652</v>
      </c>
      <c r="B644" t="s">
        <v>1947</v>
      </c>
      <c r="C644" t="s">
        <v>683</v>
      </c>
      <c r="D644" t="s">
        <v>28</v>
      </c>
      <c r="E644" t="str">
        <f>VLOOKUP(D644,'Tên SP'!B$2:C$1070,2,0)</f>
        <v>NƯỚC XẢ VẢI LIXSOFT HƯƠNG HOA HỒNG 3,6L/C04</v>
      </c>
      <c r="F644" s="4">
        <v>79000</v>
      </c>
      <c r="G644">
        <v>1</v>
      </c>
      <c r="H644" s="4">
        <v>79000</v>
      </c>
      <c r="I644" s="4">
        <v>-10000</v>
      </c>
      <c r="J644" s="5">
        <f t="shared" si="10"/>
        <v>69000</v>
      </c>
    </row>
    <row r="645" spans="1:10" x14ac:dyDescent="0.25">
      <c r="A645" s="6">
        <v>653</v>
      </c>
      <c r="B645" t="s">
        <v>1948</v>
      </c>
      <c r="C645" t="s">
        <v>684</v>
      </c>
      <c r="D645" t="s">
        <v>28</v>
      </c>
      <c r="E645" t="str">
        <f>VLOOKUP(D645,'Tên SP'!B$2:C$1070,2,0)</f>
        <v>NƯỚC XẢ VẢI LIXSOFT HƯƠNG HOA HỒNG 3,6L/C04</v>
      </c>
      <c r="F645" s="4">
        <v>79000</v>
      </c>
      <c r="G645">
        <v>1</v>
      </c>
      <c r="H645" s="4">
        <v>79000</v>
      </c>
      <c r="I645" s="4">
        <v>0</v>
      </c>
      <c r="J645" s="5">
        <f t="shared" si="10"/>
        <v>79000</v>
      </c>
    </row>
    <row r="646" spans="1:10" x14ac:dyDescent="0.25">
      <c r="A646" s="6">
        <v>654</v>
      </c>
      <c r="B646" t="s">
        <v>1949</v>
      </c>
      <c r="C646" t="s">
        <v>685</v>
      </c>
      <c r="D646" t="s">
        <v>23</v>
      </c>
      <c r="E646" t="str">
        <f>VLOOKUP(D646,'Tên SP'!B$2:C$1070,2,0)</f>
        <v>NƯỚC XẢ VẢI LIXSOFT 3,6L/C04</v>
      </c>
      <c r="F646" s="4">
        <v>82800</v>
      </c>
      <c r="G646">
        <v>1</v>
      </c>
      <c r="H646" s="4">
        <v>82800</v>
      </c>
      <c r="I646" s="4">
        <v>0</v>
      </c>
      <c r="J646" s="5">
        <f t="shared" si="10"/>
        <v>82800</v>
      </c>
    </row>
    <row r="647" spans="1:10" x14ac:dyDescent="0.25">
      <c r="A647" s="6">
        <v>655</v>
      </c>
      <c r="B647" t="s">
        <v>1950</v>
      </c>
      <c r="C647" t="s">
        <v>686</v>
      </c>
      <c r="D647" t="s">
        <v>28</v>
      </c>
      <c r="E647" t="str">
        <f>VLOOKUP(D647,'Tên SP'!B$2:C$1070,2,0)</f>
        <v>NƯỚC XẢ VẢI LIXSOFT HƯƠNG HOA HỒNG 3,6L/C04</v>
      </c>
      <c r="F647" s="4">
        <v>79000</v>
      </c>
      <c r="G647">
        <v>1</v>
      </c>
      <c r="H647" s="4">
        <v>79000</v>
      </c>
      <c r="I647" s="4">
        <v>0</v>
      </c>
      <c r="J647" s="5">
        <f t="shared" si="10"/>
        <v>79000</v>
      </c>
    </row>
    <row r="648" spans="1:10" x14ac:dyDescent="0.25">
      <c r="A648" s="6">
        <v>656</v>
      </c>
      <c r="B648" t="s">
        <v>1951</v>
      </c>
      <c r="C648" t="s">
        <v>687</v>
      </c>
      <c r="D648" t="s">
        <v>28</v>
      </c>
      <c r="E648" t="str">
        <f>VLOOKUP(D648,'Tên SP'!B$2:C$1070,2,0)</f>
        <v>NƯỚC XẢ VẢI LIXSOFT HƯƠNG HOA HỒNG 3,6L/C04</v>
      </c>
      <c r="F648" s="4">
        <v>79000</v>
      </c>
      <c r="G648">
        <v>1</v>
      </c>
      <c r="H648" s="4">
        <v>79000</v>
      </c>
      <c r="I648" s="4">
        <v>0</v>
      </c>
      <c r="J648" s="5">
        <f t="shared" si="10"/>
        <v>79000</v>
      </c>
    </row>
    <row r="649" spans="1:10" x14ac:dyDescent="0.25">
      <c r="A649" s="6">
        <v>657</v>
      </c>
      <c r="B649" t="s">
        <v>1952</v>
      </c>
      <c r="C649" t="s">
        <v>688</v>
      </c>
      <c r="D649" t="s">
        <v>28</v>
      </c>
      <c r="E649" t="str">
        <f>VLOOKUP(D649,'Tên SP'!B$2:C$1070,2,0)</f>
        <v>NƯỚC XẢ VẢI LIXSOFT HƯƠNG HOA HỒNG 3,6L/C04</v>
      </c>
      <c r="F649" s="4">
        <v>79000</v>
      </c>
      <c r="G649">
        <v>1</v>
      </c>
      <c r="H649" s="4">
        <v>79000</v>
      </c>
      <c r="I649" s="4">
        <v>0</v>
      </c>
      <c r="J649" s="5">
        <f t="shared" si="10"/>
        <v>79000</v>
      </c>
    </row>
    <row r="650" spans="1:10" x14ac:dyDescent="0.25">
      <c r="A650" s="6">
        <v>658</v>
      </c>
      <c r="B650" t="s">
        <v>1953</v>
      </c>
      <c r="C650" t="s">
        <v>689</v>
      </c>
      <c r="D650" t="s">
        <v>106</v>
      </c>
      <c r="E650" t="str">
        <f>VLOOKUP(D650,'Tên SP'!B$2:C$1070,2,0)</f>
        <v>NƯỚC GIẶT LIX SIÊU SẠCH HOA ANH ĐÀO 2.4KG/T06</v>
      </c>
      <c r="F650" s="4">
        <v>62100</v>
      </c>
      <c r="G650">
        <v>1</v>
      </c>
      <c r="H650" s="4">
        <v>62100</v>
      </c>
      <c r="I650" s="4">
        <v>0</v>
      </c>
      <c r="J650" s="5">
        <f t="shared" si="10"/>
        <v>62100</v>
      </c>
    </row>
    <row r="651" spans="1:10" x14ac:dyDescent="0.25">
      <c r="A651" s="6">
        <v>659</v>
      </c>
      <c r="B651" t="s">
        <v>1953</v>
      </c>
      <c r="C651" t="s">
        <v>689</v>
      </c>
      <c r="D651" t="s">
        <v>9</v>
      </c>
      <c r="E651" t="str">
        <f>VLOOKUP(D651,'Tên SP'!B$2:C$1070,2,0)</f>
        <v>NƯỚC GIẶT LIX ĐẬM ĐẶC 3,5KG/T04 TÚI</v>
      </c>
      <c r="F651" s="4">
        <v>94500</v>
      </c>
      <c r="G651">
        <v>1</v>
      </c>
      <c r="H651" s="4">
        <v>94500</v>
      </c>
      <c r="I651" s="4">
        <v>0</v>
      </c>
      <c r="J651" s="5">
        <f t="shared" si="10"/>
        <v>94500</v>
      </c>
    </row>
    <row r="652" spans="1:10" x14ac:dyDescent="0.25">
      <c r="A652" s="6">
        <v>660</v>
      </c>
      <c r="B652" t="s">
        <v>1954</v>
      </c>
      <c r="C652" t="s">
        <v>690</v>
      </c>
      <c r="D652" t="s">
        <v>36</v>
      </c>
      <c r="E652" t="str">
        <f>VLOOKUP(D652,'Tên SP'!B$2:C$1070,2,0)</f>
        <v>BỘT GIẶT LIXE HƯƠNG NƯỚC HOA 7KG/02</v>
      </c>
      <c r="F652" s="4">
        <v>161100</v>
      </c>
      <c r="G652">
        <v>1</v>
      </c>
      <c r="H652" s="4">
        <v>161100</v>
      </c>
      <c r="I652" s="4">
        <v>0</v>
      </c>
      <c r="J652" s="5">
        <f t="shared" si="10"/>
        <v>161100</v>
      </c>
    </row>
    <row r="653" spans="1:10" x14ac:dyDescent="0.25">
      <c r="A653" s="6">
        <v>661</v>
      </c>
      <c r="B653" t="s">
        <v>1955</v>
      </c>
      <c r="C653" t="s">
        <v>691</v>
      </c>
      <c r="D653" t="s">
        <v>23</v>
      </c>
      <c r="E653" t="str">
        <f>VLOOKUP(D653,'Tên SP'!B$2:C$1070,2,0)</f>
        <v>NƯỚC XẢ VẢI LIXSOFT 3,6L/C04</v>
      </c>
      <c r="F653" s="4">
        <v>82800</v>
      </c>
      <c r="G653">
        <v>1</v>
      </c>
      <c r="H653" s="4">
        <v>82800</v>
      </c>
      <c r="I653" s="4">
        <v>0</v>
      </c>
      <c r="J653" s="5">
        <f t="shared" si="10"/>
        <v>82800</v>
      </c>
    </row>
    <row r="654" spans="1:10" x14ac:dyDescent="0.25">
      <c r="A654" s="6">
        <v>662</v>
      </c>
      <c r="B654" t="s">
        <v>1956</v>
      </c>
      <c r="C654" t="s">
        <v>692</v>
      </c>
      <c r="D654" t="s">
        <v>102</v>
      </c>
      <c r="E654" t="str">
        <f>VLOOKUP(D654,'Tên SP'!B$2:C$1070,2,0)</f>
        <v>NƯỚC GIẶT LIX HƯƠNG NƯỚC HOA 3,5KG/T04 TÚI</v>
      </c>
      <c r="F654" s="4">
        <v>94500</v>
      </c>
      <c r="G654">
        <v>1</v>
      </c>
      <c r="H654" s="4">
        <v>94500</v>
      </c>
      <c r="I654" s="4">
        <v>-10000</v>
      </c>
      <c r="J654" s="5">
        <f t="shared" si="10"/>
        <v>84500</v>
      </c>
    </row>
    <row r="655" spans="1:10" x14ac:dyDescent="0.25">
      <c r="A655" s="6">
        <v>663</v>
      </c>
      <c r="B655" t="s">
        <v>1957</v>
      </c>
      <c r="C655" t="s">
        <v>693</v>
      </c>
      <c r="D655" t="s">
        <v>28</v>
      </c>
      <c r="E655" t="str">
        <f>VLOOKUP(D655,'Tên SP'!B$2:C$1070,2,0)</f>
        <v>NƯỚC XẢ VẢI LIXSOFT HƯƠNG HOA HỒNG 3,6L/C04</v>
      </c>
      <c r="F655" s="4">
        <v>79000</v>
      </c>
      <c r="G655">
        <v>1</v>
      </c>
      <c r="H655" s="4">
        <v>79000</v>
      </c>
      <c r="I655" s="4">
        <v>0</v>
      </c>
      <c r="J655" s="5">
        <f t="shared" si="10"/>
        <v>79000</v>
      </c>
    </row>
    <row r="656" spans="1:10" x14ac:dyDescent="0.25">
      <c r="A656" s="6">
        <v>664</v>
      </c>
      <c r="B656" t="s">
        <v>1958</v>
      </c>
      <c r="C656" t="s">
        <v>694</v>
      </c>
      <c r="D656" t="s">
        <v>28</v>
      </c>
      <c r="E656" t="str">
        <f>VLOOKUP(D656,'Tên SP'!B$2:C$1070,2,0)</f>
        <v>NƯỚC XẢ VẢI LIXSOFT HƯƠNG HOA HỒNG 3,6L/C04</v>
      </c>
      <c r="F656" s="4">
        <v>79000</v>
      </c>
      <c r="G656">
        <v>1</v>
      </c>
      <c r="H656" s="4">
        <v>79000</v>
      </c>
      <c r="I656" s="4">
        <v>0</v>
      </c>
      <c r="J656" s="5">
        <f t="shared" si="10"/>
        <v>79000</v>
      </c>
    </row>
    <row r="657" spans="1:10" x14ac:dyDescent="0.25">
      <c r="A657" s="6">
        <v>665</v>
      </c>
      <c r="B657" t="s">
        <v>1959</v>
      </c>
      <c r="C657" t="s">
        <v>695</v>
      </c>
      <c r="D657" t="s">
        <v>97</v>
      </c>
      <c r="E657" t="str">
        <f>VLOOKUP(D657,'Tên SP'!B$2:C$1070,2,0)</f>
        <v>NƯỚC GIẶT LIX ĐẬM ĐẶC 3,6KG/C04</v>
      </c>
      <c r="F657" s="4">
        <v>108000</v>
      </c>
      <c r="G657">
        <v>1</v>
      </c>
      <c r="H657" s="4">
        <v>108000</v>
      </c>
      <c r="I657" s="4">
        <v>0</v>
      </c>
      <c r="J657" s="5">
        <f t="shared" si="10"/>
        <v>108000</v>
      </c>
    </row>
    <row r="658" spans="1:10" x14ac:dyDescent="0.25">
      <c r="A658" s="6">
        <v>666</v>
      </c>
      <c r="B658" t="s">
        <v>1960</v>
      </c>
      <c r="C658" t="s">
        <v>696</v>
      </c>
      <c r="D658" t="s">
        <v>28</v>
      </c>
      <c r="E658" t="str">
        <f>VLOOKUP(D658,'Tên SP'!B$2:C$1070,2,0)</f>
        <v>NƯỚC XẢ VẢI LIXSOFT HƯƠNG HOA HỒNG 3,6L/C04</v>
      </c>
      <c r="F658" s="4">
        <v>79000</v>
      </c>
      <c r="G658">
        <v>1</v>
      </c>
      <c r="H658" s="4">
        <v>79000</v>
      </c>
      <c r="I658" s="4">
        <v>0</v>
      </c>
      <c r="J658" s="5">
        <f t="shared" si="10"/>
        <v>79000</v>
      </c>
    </row>
    <row r="659" spans="1:10" x14ac:dyDescent="0.25">
      <c r="A659" s="6">
        <v>667</v>
      </c>
      <c r="B659" t="s">
        <v>1961</v>
      </c>
      <c r="C659" t="s">
        <v>697</v>
      </c>
      <c r="D659" t="s">
        <v>23</v>
      </c>
      <c r="E659" t="str">
        <f>VLOOKUP(D659,'Tên SP'!B$2:C$1070,2,0)</f>
        <v>NƯỚC XẢ VẢI LIXSOFT 3,6L/C04</v>
      </c>
      <c r="F659" s="4">
        <v>79000</v>
      </c>
      <c r="G659">
        <v>1</v>
      </c>
      <c r="H659" s="4">
        <v>79000</v>
      </c>
      <c r="I659" s="4">
        <v>-10000</v>
      </c>
      <c r="J659" s="5">
        <f t="shared" si="10"/>
        <v>69000</v>
      </c>
    </row>
    <row r="660" spans="1:10" x14ac:dyDescent="0.25">
      <c r="A660" s="6">
        <v>668</v>
      </c>
      <c r="B660" t="s">
        <v>1962</v>
      </c>
      <c r="C660" t="s">
        <v>698</v>
      </c>
      <c r="D660" t="s">
        <v>23</v>
      </c>
      <c r="E660" t="str">
        <f>VLOOKUP(D660,'Tên SP'!B$2:C$1070,2,0)</f>
        <v>NƯỚC XẢ VẢI LIXSOFT 3,6L/C04</v>
      </c>
      <c r="F660" s="4">
        <v>79000</v>
      </c>
      <c r="G660">
        <v>1</v>
      </c>
      <c r="H660" s="4">
        <v>79000</v>
      </c>
      <c r="I660" s="4">
        <v>0</v>
      </c>
      <c r="J660" s="5">
        <f t="shared" si="10"/>
        <v>79000</v>
      </c>
    </row>
    <row r="661" spans="1:10" x14ac:dyDescent="0.25">
      <c r="A661" s="6">
        <v>669</v>
      </c>
      <c r="B661" t="s">
        <v>1963</v>
      </c>
      <c r="C661" t="s">
        <v>699</v>
      </c>
      <c r="D661" t="s">
        <v>102</v>
      </c>
      <c r="E661" t="str">
        <f>VLOOKUP(D661,'Tên SP'!B$2:C$1070,2,0)</f>
        <v>NƯỚC GIẶT LIX HƯƠNG NƯỚC HOA 3,5KG/T04 TÚI</v>
      </c>
      <c r="F661" s="4">
        <v>93400</v>
      </c>
      <c r="G661">
        <v>1</v>
      </c>
      <c r="H661" s="4">
        <v>93400</v>
      </c>
      <c r="I661" s="4">
        <v>-5000</v>
      </c>
      <c r="J661" s="5">
        <f t="shared" si="10"/>
        <v>88400</v>
      </c>
    </row>
    <row r="662" spans="1:10" x14ac:dyDescent="0.25">
      <c r="A662" s="6">
        <v>670</v>
      </c>
      <c r="B662" t="s">
        <v>1963</v>
      </c>
      <c r="C662" t="s">
        <v>699</v>
      </c>
      <c r="D662" t="s">
        <v>102</v>
      </c>
      <c r="E662" t="str">
        <f>VLOOKUP(D662,'Tên SP'!B$2:C$1070,2,0)</f>
        <v>NƯỚC GIẶT LIX HƯƠNG NƯỚC HOA 3,5KG/T04 TÚI</v>
      </c>
      <c r="F662" s="4">
        <v>93400</v>
      </c>
      <c r="G662">
        <v>1</v>
      </c>
      <c r="H662" s="4">
        <v>93400</v>
      </c>
      <c r="I662" s="4">
        <v>-5000</v>
      </c>
      <c r="J662" s="5">
        <f t="shared" si="10"/>
        <v>88400</v>
      </c>
    </row>
    <row r="663" spans="1:10" x14ac:dyDescent="0.25">
      <c r="A663" s="6">
        <v>671</v>
      </c>
      <c r="B663" t="s">
        <v>1964</v>
      </c>
      <c r="C663" t="s">
        <v>700</v>
      </c>
      <c r="D663" t="s">
        <v>23</v>
      </c>
      <c r="E663" t="str">
        <f>VLOOKUP(D663,'Tên SP'!B$2:C$1070,2,0)</f>
        <v>NƯỚC XẢ VẢI LIXSOFT 3,6L/C04</v>
      </c>
      <c r="F663" s="4">
        <v>79000</v>
      </c>
      <c r="G663">
        <v>1</v>
      </c>
      <c r="H663" s="4">
        <v>79000</v>
      </c>
      <c r="I663" s="4">
        <v>0</v>
      </c>
      <c r="J663" s="5">
        <f t="shared" si="10"/>
        <v>79000</v>
      </c>
    </row>
    <row r="664" spans="1:10" x14ac:dyDescent="0.25">
      <c r="A664" s="6">
        <v>672</v>
      </c>
      <c r="B664" t="s">
        <v>1965</v>
      </c>
      <c r="C664" t="s">
        <v>701</v>
      </c>
      <c r="D664" t="s">
        <v>23</v>
      </c>
      <c r="E664" t="str">
        <f>VLOOKUP(D664,'Tên SP'!B$2:C$1070,2,0)</f>
        <v>NƯỚC XẢ VẢI LIXSOFT 3,6L/C04</v>
      </c>
      <c r="F664" s="4">
        <v>79000</v>
      </c>
      <c r="G664">
        <v>1</v>
      </c>
      <c r="H664" s="4">
        <v>79000</v>
      </c>
      <c r="I664" s="4">
        <v>0</v>
      </c>
      <c r="J664" s="5">
        <f t="shared" si="10"/>
        <v>79000</v>
      </c>
    </row>
    <row r="665" spans="1:10" x14ac:dyDescent="0.25">
      <c r="A665" s="6">
        <v>673</v>
      </c>
      <c r="B665" t="s">
        <v>1966</v>
      </c>
      <c r="C665" t="s">
        <v>702</v>
      </c>
      <c r="D665" t="s">
        <v>92</v>
      </c>
      <c r="E665" t="str">
        <f>VLOOKUP(D665,'Tên SP'!B$2:C$1070,2,0)</f>
        <v>NƯỚC LAU SÀN LILY &amp; HOA HỒNG LIX 3.6L/C04</v>
      </c>
      <c r="F665" s="4">
        <v>75600</v>
      </c>
      <c r="G665">
        <v>1</v>
      </c>
      <c r="H665" s="4">
        <v>75600</v>
      </c>
      <c r="I665" s="4">
        <v>-3760</v>
      </c>
      <c r="J665" s="5">
        <f t="shared" si="10"/>
        <v>71840</v>
      </c>
    </row>
    <row r="666" spans="1:10" x14ac:dyDescent="0.25">
      <c r="A666" s="6">
        <v>674</v>
      </c>
      <c r="B666" t="s">
        <v>1966</v>
      </c>
      <c r="C666" t="s">
        <v>702</v>
      </c>
      <c r="D666" t="s">
        <v>71</v>
      </c>
      <c r="E666" t="str">
        <f>VLOOKUP(D666,'Tên SP'!B$2:C$1070,2,0)</f>
        <v>NƯỚC RỬA CHÉN SIÊU SẠCH CHANH 3,5KG/T04- TÚI</v>
      </c>
      <c r="F666" s="4">
        <v>66700</v>
      </c>
      <c r="G666">
        <v>1</v>
      </c>
      <c r="H666" s="4">
        <v>66700</v>
      </c>
      <c r="I666" s="4">
        <v>-3317</v>
      </c>
      <c r="J666" s="5">
        <f t="shared" si="10"/>
        <v>63383</v>
      </c>
    </row>
    <row r="667" spans="1:10" x14ac:dyDescent="0.25">
      <c r="A667" s="6">
        <v>675</v>
      </c>
      <c r="B667" t="s">
        <v>1966</v>
      </c>
      <c r="C667" t="s">
        <v>702</v>
      </c>
      <c r="D667" t="s">
        <v>36</v>
      </c>
      <c r="E667" t="str">
        <f>VLOOKUP(D667,'Tên SP'!B$2:C$1070,2,0)</f>
        <v>BỘT GIẶT LIXE HƯƠNG NƯỚC HOA 7KG/02</v>
      </c>
      <c r="F667" s="4">
        <v>159300</v>
      </c>
      <c r="G667">
        <v>1</v>
      </c>
      <c r="H667" s="4">
        <v>159300</v>
      </c>
      <c r="I667" s="4">
        <v>-7923</v>
      </c>
      <c r="J667" s="5">
        <f t="shared" si="10"/>
        <v>151377</v>
      </c>
    </row>
    <row r="668" spans="1:10" x14ac:dyDescent="0.25">
      <c r="A668" s="6">
        <v>676</v>
      </c>
      <c r="B668" t="s">
        <v>1967</v>
      </c>
      <c r="C668" t="s">
        <v>703</v>
      </c>
      <c r="D668" t="s">
        <v>23</v>
      </c>
      <c r="E668" t="str">
        <f>VLOOKUP(D668,'Tên SP'!B$2:C$1070,2,0)</f>
        <v>NƯỚC XẢ VẢI LIXSOFT 3,6L/C04</v>
      </c>
      <c r="F668" s="4">
        <v>79000</v>
      </c>
      <c r="G668">
        <v>1</v>
      </c>
      <c r="H668" s="4">
        <v>79000</v>
      </c>
      <c r="I668" s="4">
        <v>0</v>
      </c>
      <c r="J668" s="5">
        <f t="shared" si="10"/>
        <v>79000</v>
      </c>
    </row>
    <row r="669" spans="1:10" x14ac:dyDescent="0.25">
      <c r="A669" s="6">
        <v>677</v>
      </c>
      <c r="B669" t="s">
        <v>1968</v>
      </c>
      <c r="C669" t="s">
        <v>704</v>
      </c>
      <c r="D669" t="s">
        <v>97</v>
      </c>
      <c r="E669" t="str">
        <f>VLOOKUP(D669,'Tên SP'!B$2:C$1070,2,0)</f>
        <v>NƯỚC GIẶT LIX ĐẬM ĐẶC 3,6KG/C04</v>
      </c>
      <c r="F669" s="4">
        <v>106800</v>
      </c>
      <c r="G669">
        <v>1</v>
      </c>
      <c r="H669" s="4">
        <v>106800</v>
      </c>
      <c r="I669" s="4">
        <v>0</v>
      </c>
      <c r="J669" s="5">
        <f t="shared" si="10"/>
        <v>106800</v>
      </c>
    </row>
    <row r="670" spans="1:10" x14ac:dyDescent="0.25">
      <c r="A670" s="6">
        <v>678</v>
      </c>
      <c r="B670" t="s">
        <v>1969</v>
      </c>
      <c r="C670" t="s">
        <v>705</v>
      </c>
      <c r="D670" t="s">
        <v>23</v>
      </c>
      <c r="E670" t="str">
        <f>VLOOKUP(D670,'Tên SP'!B$2:C$1070,2,0)</f>
        <v>NƯỚC XẢ VẢI LIXSOFT 3,6L/C04</v>
      </c>
      <c r="F670" s="4">
        <v>79000</v>
      </c>
      <c r="G670">
        <v>1</v>
      </c>
      <c r="H670" s="4">
        <v>79000</v>
      </c>
      <c r="I670" s="4">
        <v>0</v>
      </c>
      <c r="J670" s="5">
        <f t="shared" si="10"/>
        <v>79000</v>
      </c>
    </row>
    <row r="671" spans="1:10" x14ac:dyDescent="0.25">
      <c r="A671" s="6">
        <v>679</v>
      </c>
      <c r="B671" t="s">
        <v>1970</v>
      </c>
      <c r="C671" t="s">
        <v>706</v>
      </c>
      <c r="D671" t="s">
        <v>23</v>
      </c>
      <c r="E671" t="str">
        <f>VLOOKUP(D671,'Tên SP'!B$2:C$1070,2,0)</f>
        <v>NƯỚC XẢ VẢI LIXSOFT 3,6L/C04</v>
      </c>
      <c r="F671" s="4">
        <v>79000</v>
      </c>
      <c r="G671">
        <v>1</v>
      </c>
      <c r="H671" s="4">
        <v>79000</v>
      </c>
      <c r="I671" s="4">
        <v>0</v>
      </c>
      <c r="J671" s="5">
        <f t="shared" si="10"/>
        <v>79000</v>
      </c>
    </row>
    <row r="672" spans="1:10" x14ac:dyDescent="0.25">
      <c r="A672" s="6">
        <v>680</v>
      </c>
      <c r="B672" t="s">
        <v>1971</v>
      </c>
      <c r="C672" t="s">
        <v>707</v>
      </c>
      <c r="D672" t="s">
        <v>102</v>
      </c>
      <c r="E672" t="str">
        <f>VLOOKUP(D672,'Tên SP'!B$2:C$1070,2,0)</f>
        <v>NƯỚC GIẶT LIX HƯƠNG NƯỚC HOA 3,5KG/T04 TÚI</v>
      </c>
      <c r="F672" s="4">
        <v>91350</v>
      </c>
      <c r="G672">
        <v>1</v>
      </c>
      <c r="H672" s="4">
        <v>91350</v>
      </c>
      <c r="I672" s="4">
        <v>0</v>
      </c>
      <c r="J672" s="5">
        <f t="shared" si="10"/>
        <v>91350</v>
      </c>
    </row>
    <row r="673" spans="1:10" x14ac:dyDescent="0.25">
      <c r="A673" s="6">
        <v>681</v>
      </c>
      <c r="B673" t="s">
        <v>1972</v>
      </c>
      <c r="C673" t="s">
        <v>708</v>
      </c>
      <c r="D673" t="s">
        <v>23</v>
      </c>
      <c r="E673" t="str">
        <f>VLOOKUP(D673,'Tên SP'!B$2:C$1070,2,0)</f>
        <v>NƯỚC XẢ VẢI LIXSOFT 3,6L/C04</v>
      </c>
      <c r="F673" s="4">
        <v>79000</v>
      </c>
      <c r="G673">
        <v>1</v>
      </c>
      <c r="H673" s="4">
        <v>79000</v>
      </c>
      <c r="I673" s="4">
        <v>0</v>
      </c>
      <c r="J673" s="5">
        <f t="shared" si="10"/>
        <v>79000</v>
      </c>
    </row>
    <row r="674" spans="1:10" x14ac:dyDescent="0.25">
      <c r="A674" s="6">
        <v>682</v>
      </c>
      <c r="B674" t="s">
        <v>1973</v>
      </c>
      <c r="C674" t="s">
        <v>709</v>
      </c>
      <c r="D674" t="s">
        <v>28</v>
      </c>
      <c r="E674" t="str">
        <f>VLOOKUP(D674,'Tên SP'!B$2:C$1070,2,0)</f>
        <v>NƯỚC XẢ VẢI LIXSOFT HƯƠNG HOA HỒNG 3,6L/C04</v>
      </c>
      <c r="F674" s="4">
        <v>81800</v>
      </c>
      <c r="G674">
        <v>1</v>
      </c>
      <c r="H674" s="4">
        <v>81800</v>
      </c>
      <c r="I674" s="4">
        <v>-10000</v>
      </c>
      <c r="J674" s="5">
        <f t="shared" si="10"/>
        <v>71800</v>
      </c>
    </row>
    <row r="675" spans="1:10" x14ac:dyDescent="0.25">
      <c r="A675" s="6">
        <v>683</v>
      </c>
      <c r="B675" t="s">
        <v>1974</v>
      </c>
      <c r="C675" t="s">
        <v>710</v>
      </c>
      <c r="D675" t="s">
        <v>23</v>
      </c>
      <c r="E675" t="str">
        <f>VLOOKUP(D675,'Tên SP'!B$2:C$1070,2,0)</f>
        <v>NƯỚC XẢ VẢI LIXSOFT 3,6L/C04</v>
      </c>
      <c r="F675" s="4">
        <v>79000</v>
      </c>
      <c r="G675">
        <v>1</v>
      </c>
      <c r="H675" s="4">
        <v>79000</v>
      </c>
      <c r="I675" s="4">
        <v>-10000</v>
      </c>
      <c r="J675" s="5">
        <f t="shared" si="10"/>
        <v>69000</v>
      </c>
    </row>
    <row r="676" spans="1:10" x14ac:dyDescent="0.25">
      <c r="A676" s="6">
        <v>684</v>
      </c>
      <c r="B676" t="s">
        <v>1975</v>
      </c>
      <c r="C676" t="s">
        <v>711</v>
      </c>
      <c r="D676" t="s">
        <v>23</v>
      </c>
      <c r="E676" t="str">
        <f>VLOOKUP(D676,'Tên SP'!B$2:C$1070,2,0)</f>
        <v>NƯỚC XẢ VẢI LIXSOFT 3,6L/C04</v>
      </c>
      <c r="F676" s="4">
        <v>79000</v>
      </c>
      <c r="G676">
        <v>1</v>
      </c>
      <c r="H676" s="4">
        <v>79000</v>
      </c>
      <c r="I676" s="4">
        <v>-10000</v>
      </c>
      <c r="J676" s="5">
        <f t="shared" si="10"/>
        <v>69000</v>
      </c>
    </row>
    <row r="677" spans="1:10" x14ac:dyDescent="0.25">
      <c r="A677" s="6">
        <v>685</v>
      </c>
      <c r="B677" t="s">
        <v>1976</v>
      </c>
      <c r="C677" t="s">
        <v>712</v>
      </c>
      <c r="D677" t="s">
        <v>23</v>
      </c>
      <c r="E677" t="str">
        <f>VLOOKUP(D677,'Tên SP'!B$2:C$1070,2,0)</f>
        <v>NƯỚC XẢ VẢI LIXSOFT 3,6L/C04</v>
      </c>
      <c r="F677" s="4">
        <v>79000</v>
      </c>
      <c r="G677">
        <v>1</v>
      </c>
      <c r="H677" s="4">
        <v>79000</v>
      </c>
      <c r="I677" s="4">
        <v>0</v>
      </c>
      <c r="J677" s="5">
        <f t="shared" si="10"/>
        <v>79000</v>
      </c>
    </row>
    <row r="678" spans="1:10" x14ac:dyDescent="0.25">
      <c r="A678" s="6">
        <v>686</v>
      </c>
      <c r="B678" t="s">
        <v>1977</v>
      </c>
      <c r="C678" t="s">
        <v>713</v>
      </c>
      <c r="D678" t="s">
        <v>188</v>
      </c>
      <c r="E678" t="str">
        <f>VLOOKUP(D678,'Tên SP'!B$2:C$1070,2,0)</f>
        <v>DUNG DỊCH SÁT KHUẨN TAY NHANH ON1 500ML/CH20</v>
      </c>
      <c r="F678" s="4">
        <v>48900</v>
      </c>
      <c r="G678">
        <v>1</v>
      </c>
      <c r="H678" s="4">
        <v>48900</v>
      </c>
      <c r="I678" s="4">
        <v>-2445</v>
      </c>
      <c r="J678" s="5">
        <f t="shared" si="10"/>
        <v>46455</v>
      </c>
    </row>
    <row r="679" spans="1:10" x14ac:dyDescent="0.25">
      <c r="A679" s="6">
        <v>687</v>
      </c>
      <c r="B679" t="s">
        <v>1977</v>
      </c>
      <c r="C679" t="s">
        <v>713</v>
      </c>
      <c r="D679" t="s">
        <v>188</v>
      </c>
      <c r="E679" t="str">
        <f>VLOOKUP(D679,'Tên SP'!B$2:C$1070,2,0)</f>
        <v>DUNG DỊCH SÁT KHUẨN TAY NHANH ON1 500ML/CH20</v>
      </c>
      <c r="F679" s="4">
        <v>48900</v>
      </c>
      <c r="G679">
        <v>1</v>
      </c>
      <c r="H679" s="4">
        <v>48900</v>
      </c>
      <c r="I679" s="4">
        <v>-2445</v>
      </c>
      <c r="J679" s="5">
        <f t="shared" si="10"/>
        <v>46455</v>
      </c>
    </row>
    <row r="680" spans="1:10" x14ac:dyDescent="0.25">
      <c r="A680" s="6">
        <v>688</v>
      </c>
      <c r="B680" t="s">
        <v>1977</v>
      </c>
      <c r="C680" t="s">
        <v>713</v>
      </c>
      <c r="D680" t="s">
        <v>188</v>
      </c>
      <c r="E680" t="str">
        <f>VLOOKUP(D680,'Tên SP'!B$2:C$1070,2,0)</f>
        <v>DUNG DỊCH SÁT KHUẨN TAY NHANH ON1 500ML/CH20</v>
      </c>
      <c r="F680" s="4">
        <v>48900</v>
      </c>
      <c r="G680">
        <v>1</v>
      </c>
      <c r="H680" s="4">
        <v>48900</v>
      </c>
      <c r="I680" s="4">
        <v>-2445</v>
      </c>
      <c r="J680" s="5">
        <f t="shared" si="10"/>
        <v>46455</v>
      </c>
    </row>
    <row r="681" spans="1:10" x14ac:dyDescent="0.25">
      <c r="A681" s="6">
        <v>689</v>
      </c>
      <c r="B681" t="s">
        <v>1977</v>
      </c>
      <c r="C681" t="s">
        <v>713</v>
      </c>
      <c r="D681" t="s">
        <v>188</v>
      </c>
      <c r="E681" t="str">
        <f>VLOOKUP(D681,'Tên SP'!B$2:C$1070,2,0)</f>
        <v>DUNG DỊCH SÁT KHUẨN TAY NHANH ON1 500ML/CH20</v>
      </c>
      <c r="F681" s="4">
        <v>48900</v>
      </c>
      <c r="G681">
        <v>1</v>
      </c>
      <c r="H681" s="4">
        <v>48900</v>
      </c>
      <c r="I681" s="4">
        <v>-2445</v>
      </c>
      <c r="J681" s="5">
        <f t="shared" si="10"/>
        <v>46455</v>
      </c>
    </row>
    <row r="682" spans="1:10" x14ac:dyDescent="0.25">
      <c r="A682" s="6">
        <v>690</v>
      </c>
      <c r="B682" t="s">
        <v>1978</v>
      </c>
      <c r="C682" t="s">
        <v>714</v>
      </c>
      <c r="D682" t="s">
        <v>102</v>
      </c>
      <c r="E682" t="str">
        <f>VLOOKUP(D682,'Tên SP'!B$2:C$1070,2,0)</f>
        <v>NƯỚC GIẶT LIX HƯƠNG NƯỚC HOA 3,5KG/T04 TÚI</v>
      </c>
      <c r="F682" s="4">
        <v>91350</v>
      </c>
      <c r="G682">
        <v>1</v>
      </c>
      <c r="H682" s="4">
        <v>91350</v>
      </c>
      <c r="I682" s="4">
        <v>-10000</v>
      </c>
      <c r="J682" s="5">
        <f t="shared" si="10"/>
        <v>81350</v>
      </c>
    </row>
    <row r="683" spans="1:10" x14ac:dyDescent="0.25">
      <c r="A683" s="6">
        <v>691</v>
      </c>
      <c r="B683" t="s">
        <v>1979</v>
      </c>
      <c r="C683" t="s">
        <v>715</v>
      </c>
      <c r="D683" t="s">
        <v>23</v>
      </c>
      <c r="E683" t="str">
        <f>VLOOKUP(D683,'Tên SP'!B$2:C$1070,2,0)</f>
        <v>NƯỚC XẢ VẢI LIXSOFT 3,6L/C04</v>
      </c>
      <c r="F683" s="4">
        <v>79000</v>
      </c>
      <c r="G683">
        <v>1</v>
      </c>
      <c r="H683" s="4">
        <v>79000</v>
      </c>
      <c r="I683" s="4">
        <v>0</v>
      </c>
      <c r="J683" s="5">
        <f t="shared" si="10"/>
        <v>79000</v>
      </c>
    </row>
    <row r="684" spans="1:10" x14ac:dyDescent="0.25">
      <c r="A684" s="6">
        <v>692</v>
      </c>
      <c r="B684" t="s">
        <v>1980</v>
      </c>
      <c r="C684" t="s">
        <v>716</v>
      </c>
      <c r="D684" t="s">
        <v>162</v>
      </c>
      <c r="E684" t="str">
        <f>VLOOKUP(D684,'Tên SP'!B$2:C$1070,2,0)</f>
        <v>NƯỚC GIẶT XẢ MATIC ON1 GARDEN OF FAME 2,6KG/C04</v>
      </c>
      <c r="F684" s="4">
        <v>114800</v>
      </c>
      <c r="G684">
        <v>1</v>
      </c>
      <c r="H684" s="4">
        <v>114800</v>
      </c>
      <c r="I684" s="4">
        <v>0</v>
      </c>
      <c r="J684" s="5">
        <f t="shared" si="10"/>
        <v>114800</v>
      </c>
    </row>
    <row r="685" spans="1:10" x14ac:dyDescent="0.25">
      <c r="A685" s="6">
        <v>693</v>
      </c>
      <c r="B685" t="s">
        <v>1981</v>
      </c>
      <c r="C685" t="s">
        <v>717</v>
      </c>
      <c r="D685" t="s">
        <v>22</v>
      </c>
      <c r="E685" t="str">
        <f>VLOOKUP(D685,'Tên SP'!B$2:C$1070,2,0)</f>
        <v>NƯỚC TẨY JAVEL LIX 1KG/CH12</v>
      </c>
      <c r="F685" s="4">
        <v>30200</v>
      </c>
      <c r="G685">
        <v>1</v>
      </c>
      <c r="H685" s="4">
        <v>30200</v>
      </c>
      <c r="I685" s="4">
        <v>-2554</v>
      </c>
      <c r="J685" s="5">
        <f t="shared" si="10"/>
        <v>27646</v>
      </c>
    </row>
    <row r="686" spans="1:10" x14ac:dyDescent="0.25">
      <c r="A686" s="6">
        <v>694</v>
      </c>
      <c r="B686" t="s">
        <v>1981</v>
      </c>
      <c r="C686" t="s">
        <v>717</v>
      </c>
      <c r="D686" t="s">
        <v>22</v>
      </c>
      <c r="E686" t="str">
        <f>VLOOKUP(D686,'Tên SP'!B$2:C$1070,2,0)</f>
        <v>NƯỚC TẨY JAVEL LIX 1KG/CH12</v>
      </c>
      <c r="F686" s="4">
        <v>30200</v>
      </c>
      <c r="G686">
        <v>1</v>
      </c>
      <c r="H686" s="4">
        <v>30200</v>
      </c>
      <c r="I686" s="4">
        <v>-2554</v>
      </c>
      <c r="J686" s="5">
        <f t="shared" si="10"/>
        <v>27646</v>
      </c>
    </row>
    <row r="687" spans="1:10" x14ac:dyDescent="0.25">
      <c r="A687" s="6">
        <v>695</v>
      </c>
      <c r="B687" t="s">
        <v>1981</v>
      </c>
      <c r="C687" t="s">
        <v>717</v>
      </c>
      <c r="D687" t="s">
        <v>22</v>
      </c>
      <c r="E687" t="str">
        <f>VLOOKUP(D687,'Tên SP'!B$2:C$1070,2,0)</f>
        <v>NƯỚC TẨY JAVEL LIX 1KG/CH12</v>
      </c>
      <c r="F687" s="4">
        <v>30200</v>
      </c>
      <c r="G687">
        <v>1</v>
      </c>
      <c r="H687" s="4">
        <v>30200</v>
      </c>
      <c r="I687" s="4">
        <v>-2554</v>
      </c>
      <c r="J687" s="5">
        <f t="shared" si="10"/>
        <v>27646</v>
      </c>
    </row>
    <row r="688" spans="1:10" x14ac:dyDescent="0.25">
      <c r="A688" s="6">
        <v>696</v>
      </c>
      <c r="B688" t="s">
        <v>1981</v>
      </c>
      <c r="C688" t="s">
        <v>717</v>
      </c>
      <c r="D688" t="s">
        <v>87</v>
      </c>
      <c r="E688" t="str">
        <f>VLOOKUP(D688,'Tên SP'!B$2:C$1070,2,0)</f>
        <v>NƯỚC RỬA CHÉN SIÊU SẠCH TRÀ 1,4KG/C04</v>
      </c>
      <c r="F688" s="4">
        <v>40000</v>
      </c>
      <c r="G688">
        <v>1</v>
      </c>
      <c r="H688" s="4">
        <v>40000</v>
      </c>
      <c r="I688" s="4">
        <v>-1383</v>
      </c>
      <c r="J688" s="5">
        <f t="shared" si="10"/>
        <v>38617</v>
      </c>
    </row>
    <row r="689" spans="1:10" x14ac:dyDescent="0.25">
      <c r="A689" s="6">
        <v>697</v>
      </c>
      <c r="B689" t="s">
        <v>1981</v>
      </c>
      <c r="C689" t="s">
        <v>717</v>
      </c>
      <c r="D689" t="s">
        <v>44</v>
      </c>
      <c r="E689" t="str">
        <f>VLOOKUP(D689,'Tên SP'!B$2:C$1070,2,0)</f>
        <v>BỘT GIẶT LIXE CHANH 5,5KG/03</v>
      </c>
      <c r="F689" s="4">
        <v>129000</v>
      </c>
      <c r="G689">
        <v>1</v>
      </c>
      <c r="H689" s="4">
        <v>129000</v>
      </c>
      <c r="I689" s="4">
        <v>-4461</v>
      </c>
      <c r="J689" s="5">
        <f t="shared" si="10"/>
        <v>124539</v>
      </c>
    </row>
    <row r="690" spans="1:10" x14ac:dyDescent="0.25">
      <c r="A690" s="6">
        <v>698</v>
      </c>
      <c r="B690" t="s">
        <v>1981</v>
      </c>
      <c r="C690" t="s">
        <v>717</v>
      </c>
      <c r="D690" t="s">
        <v>83</v>
      </c>
      <c r="E690" t="str">
        <f>VLOOKUP(D690,'Tên SP'!B$2:C$1070,2,0)</f>
        <v>NƯỚC RỬA CHÉN SIÊU SẠCH TRÀ 1,5KG/T08- TÚI</v>
      </c>
      <c r="F690" s="4">
        <v>34700</v>
      </c>
      <c r="G690">
        <v>1</v>
      </c>
      <c r="H690" s="4">
        <v>34700</v>
      </c>
      <c r="I690" s="4">
        <v>-1200</v>
      </c>
      <c r="J690" s="5">
        <f t="shared" si="10"/>
        <v>33500</v>
      </c>
    </row>
    <row r="691" spans="1:10" x14ac:dyDescent="0.25">
      <c r="A691" s="6">
        <v>699</v>
      </c>
      <c r="B691" t="s">
        <v>1981</v>
      </c>
      <c r="C691" t="s">
        <v>717</v>
      </c>
      <c r="D691" t="s">
        <v>140</v>
      </c>
      <c r="E691" t="str">
        <f>VLOOKUP(D691,'Tên SP'!B$2:C$1070,2,0)</f>
        <v>NƯỚC RỬA CHÉN ON1 TINH DẦU GỪNG CAM 1KG/CH12</v>
      </c>
      <c r="F691" s="4">
        <v>52500</v>
      </c>
      <c r="G691">
        <v>1</v>
      </c>
      <c r="H691" s="4">
        <v>52500</v>
      </c>
      <c r="I691" s="4">
        <v>-4440</v>
      </c>
      <c r="J691" s="5">
        <f t="shared" si="10"/>
        <v>48060</v>
      </c>
    </row>
    <row r="692" spans="1:10" x14ac:dyDescent="0.25">
      <c r="A692" s="6">
        <v>700</v>
      </c>
      <c r="B692" t="s">
        <v>1981</v>
      </c>
      <c r="C692" t="s">
        <v>717</v>
      </c>
      <c r="D692" t="s">
        <v>129</v>
      </c>
      <c r="E692" t="str">
        <f>VLOOKUP(D692,'Tên SP'!B$2:C$1070,2,0)</f>
        <v>NƯỚC RỬA CHÉN ON1 CHANH SẢ 750G/CH12</v>
      </c>
      <c r="F692" s="4">
        <v>29000</v>
      </c>
      <c r="G692">
        <v>1</v>
      </c>
      <c r="H692" s="4">
        <v>29000</v>
      </c>
      <c r="I692" s="4">
        <v>-2453</v>
      </c>
      <c r="J692" s="5">
        <f t="shared" si="10"/>
        <v>26547</v>
      </c>
    </row>
    <row r="693" spans="1:10" x14ac:dyDescent="0.25">
      <c r="A693" s="6">
        <v>701</v>
      </c>
      <c r="B693" t="s">
        <v>1981</v>
      </c>
      <c r="C693" t="s">
        <v>717</v>
      </c>
      <c r="D693" t="s">
        <v>129</v>
      </c>
      <c r="E693" t="str">
        <f>VLOOKUP(D693,'Tên SP'!B$2:C$1070,2,0)</f>
        <v>NƯỚC RỬA CHÉN ON1 CHANH SẢ 750G/CH12</v>
      </c>
      <c r="F693" s="4">
        <v>29000</v>
      </c>
      <c r="G693">
        <v>1</v>
      </c>
      <c r="H693" s="4">
        <v>29000</v>
      </c>
      <c r="I693" s="4">
        <v>-2453</v>
      </c>
      <c r="J693" s="5">
        <f t="shared" si="10"/>
        <v>26547</v>
      </c>
    </row>
    <row r="694" spans="1:10" x14ac:dyDescent="0.25">
      <c r="A694" s="6">
        <v>702</v>
      </c>
      <c r="B694" t="s">
        <v>1981</v>
      </c>
      <c r="C694" t="s">
        <v>717</v>
      </c>
      <c r="D694" t="s">
        <v>129</v>
      </c>
      <c r="E694" t="str">
        <f>VLOOKUP(D694,'Tên SP'!B$2:C$1070,2,0)</f>
        <v>NƯỚC RỬA CHÉN ON1 CHANH SẢ 750G/CH12</v>
      </c>
      <c r="F694" s="4">
        <v>29000</v>
      </c>
      <c r="G694">
        <v>1</v>
      </c>
      <c r="H694" s="4">
        <v>29000</v>
      </c>
      <c r="I694" s="4">
        <v>-2453</v>
      </c>
      <c r="J694" s="5">
        <f t="shared" si="10"/>
        <v>26547</v>
      </c>
    </row>
    <row r="695" spans="1:10" x14ac:dyDescent="0.25">
      <c r="A695" s="6">
        <v>703</v>
      </c>
      <c r="B695" t="s">
        <v>1982</v>
      </c>
      <c r="C695" t="s">
        <v>718</v>
      </c>
      <c r="D695" t="s">
        <v>23</v>
      </c>
      <c r="E695" t="str">
        <f>VLOOKUP(D695,'Tên SP'!B$2:C$1070,2,0)</f>
        <v>NƯỚC XẢ VẢI LIXSOFT 3,6L/C04</v>
      </c>
      <c r="F695" s="4">
        <v>79000</v>
      </c>
      <c r="G695">
        <v>1</v>
      </c>
      <c r="H695" s="4">
        <v>79000</v>
      </c>
      <c r="I695" s="4">
        <v>0</v>
      </c>
      <c r="J695" s="5">
        <f t="shared" si="10"/>
        <v>79000</v>
      </c>
    </row>
    <row r="696" spans="1:10" x14ac:dyDescent="0.25">
      <c r="A696" s="6">
        <v>704</v>
      </c>
      <c r="B696" t="s">
        <v>1983</v>
      </c>
      <c r="C696" t="s">
        <v>719</v>
      </c>
      <c r="D696" t="s">
        <v>31</v>
      </c>
      <c r="E696" t="str">
        <f>VLOOKUP(D696,'Tên SP'!B$2:C$1070,2,0)</f>
        <v>BỘT GIẶT LIXE 5,5KG/03</v>
      </c>
      <c r="F696" s="4">
        <v>129000</v>
      </c>
      <c r="G696">
        <v>1</v>
      </c>
      <c r="H696" s="4">
        <v>129000</v>
      </c>
      <c r="I696" s="4">
        <v>-10000</v>
      </c>
      <c r="J696" s="5">
        <f t="shared" si="10"/>
        <v>119000</v>
      </c>
    </row>
    <row r="697" spans="1:10" x14ac:dyDescent="0.25">
      <c r="A697" s="6">
        <v>705</v>
      </c>
      <c r="B697" t="s">
        <v>1984</v>
      </c>
      <c r="C697" t="s">
        <v>720</v>
      </c>
      <c r="D697" t="s">
        <v>102</v>
      </c>
      <c r="E697" t="str">
        <f>VLOOKUP(D697,'Tên SP'!B$2:C$1070,2,0)</f>
        <v>NƯỚC GIẶT LIX HƯƠNG NƯỚC HOA 3,5KG/T04 TÚI</v>
      </c>
      <c r="F697" s="4">
        <v>91350</v>
      </c>
      <c r="G697">
        <v>1</v>
      </c>
      <c r="H697" s="4">
        <v>91350</v>
      </c>
      <c r="I697" s="4">
        <v>-10000</v>
      </c>
      <c r="J697" s="5">
        <f t="shared" si="10"/>
        <v>81350</v>
      </c>
    </row>
    <row r="698" spans="1:10" x14ac:dyDescent="0.25">
      <c r="A698" s="6">
        <v>706</v>
      </c>
      <c r="B698" t="s">
        <v>1985</v>
      </c>
      <c r="C698" t="s">
        <v>721</v>
      </c>
      <c r="D698" t="s">
        <v>102</v>
      </c>
      <c r="E698" t="str">
        <f>VLOOKUP(D698,'Tên SP'!B$2:C$1070,2,0)</f>
        <v>NƯỚC GIẶT LIX HƯƠNG NƯỚC HOA 3,5KG/T04 TÚI</v>
      </c>
      <c r="F698" s="4">
        <v>91350</v>
      </c>
      <c r="G698">
        <v>1</v>
      </c>
      <c r="H698" s="4">
        <v>91350</v>
      </c>
      <c r="I698" s="4">
        <v>0</v>
      </c>
      <c r="J698" s="5">
        <f t="shared" ref="J698:J761" si="11">H698+I698</f>
        <v>91350</v>
      </c>
    </row>
    <row r="699" spans="1:10" x14ac:dyDescent="0.25">
      <c r="A699" s="6">
        <v>707</v>
      </c>
      <c r="B699" t="s">
        <v>1986</v>
      </c>
      <c r="C699" t="s">
        <v>722</v>
      </c>
      <c r="D699" t="s">
        <v>23</v>
      </c>
      <c r="E699" t="str">
        <f>VLOOKUP(D699,'Tên SP'!B$2:C$1070,2,0)</f>
        <v>NƯỚC XẢ VẢI LIXSOFT 3,6L/C04</v>
      </c>
      <c r="F699" s="4">
        <v>79000</v>
      </c>
      <c r="G699">
        <v>1</v>
      </c>
      <c r="H699" s="4">
        <v>79000</v>
      </c>
      <c r="I699" s="4">
        <v>0</v>
      </c>
      <c r="J699" s="5">
        <f t="shared" si="11"/>
        <v>79000</v>
      </c>
    </row>
    <row r="700" spans="1:10" x14ac:dyDescent="0.25">
      <c r="A700" s="6">
        <v>708</v>
      </c>
      <c r="B700" t="s">
        <v>1987</v>
      </c>
      <c r="C700" t="s">
        <v>723</v>
      </c>
      <c r="D700" t="s">
        <v>23</v>
      </c>
      <c r="E700" t="str">
        <f>VLOOKUP(D700,'Tên SP'!B$2:C$1070,2,0)</f>
        <v>NƯỚC XẢ VẢI LIXSOFT 3,6L/C04</v>
      </c>
      <c r="F700" s="4">
        <v>79000</v>
      </c>
      <c r="G700">
        <v>1</v>
      </c>
      <c r="H700" s="4">
        <v>79000</v>
      </c>
      <c r="I700" s="4">
        <v>0</v>
      </c>
      <c r="J700" s="5">
        <f t="shared" si="11"/>
        <v>79000</v>
      </c>
    </row>
    <row r="701" spans="1:10" x14ac:dyDescent="0.25">
      <c r="A701" s="6">
        <v>709</v>
      </c>
      <c r="B701" t="s">
        <v>1988</v>
      </c>
      <c r="C701" t="s">
        <v>724</v>
      </c>
      <c r="D701" t="s">
        <v>23</v>
      </c>
      <c r="E701" t="str">
        <f>VLOOKUP(D701,'Tên SP'!B$2:C$1070,2,0)</f>
        <v>NƯỚC XẢ VẢI LIXSOFT 3,6L/C04</v>
      </c>
      <c r="F701" s="4">
        <v>79000</v>
      </c>
      <c r="G701">
        <v>1</v>
      </c>
      <c r="H701" s="4">
        <v>79000</v>
      </c>
      <c r="I701" s="4">
        <v>0</v>
      </c>
      <c r="J701" s="5">
        <f t="shared" si="11"/>
        <v>79000</v>
      </c>
    </row>
    <row r="702" spans="1:10" x14ac:dyDescent="0.25">
      <c r="A702" s="6">
        <v>710</v>
      </c>
      <c r="B702" t="s">
        <v>1989</v>
      </c>
      <c r="C702" t="s">
        <v>725</v>
      </c>
      <c r="D702" t="s">
        <v>102</v>
      </c>
      <c r="E702" t="str">
        <f>VLOOKUP(D702,'Tên SP'!B$2:C$1070,2,0)</f>
        <v>NƯỚC GIẶT LIX HƯƠNG NƯỚC HOA 3,5KG/T04 TÚI</v>
      </c>
      <c r="F702" s="4">
        <v>91350</v>
      </c>
      <c r="G702">
        <v>1</v>
      </c>
      <c r="H702" s="4">
        <v>91350</v>
      </c>
      <c r="I702" s="4">
        <v>-10000</v>
      </c>
      <c r="J702" s="5">
        <f t="shared" si="11"/>
        <v>81350</v>
      </c>
    </row>
    <row r="703" spans="1:10" x14ac:dyDescent="0.25">
      <c r="A703" s="6">
        <v>711</v>
      </c>
      <c r="B703" t="s">
        <v>1990</v>
      </c>
      <c r="C703" t="s">
        <v>726</v>
      </c>
      <c r="D703" t="s">
        <v>81</v>
      </c>
      <c r="E703" t="str">
        <f>VLOOKUP(D703,'Tên SP'!B$2:C$1070,2,0)</f>
        <v>NƯỚC RỬA CHÉN SIÊU SẠCH TRÀ 3,5KG/T04- TÚI</v>
      </c>
      <c r="F703" s="4">
        <v>66700</v>
      </c>
      <c r="G703">
        <v>1</v>
      </c>
      <c r="H703" s="4">
        <v>66700</v>
      </c>
      <c r="I703" s="4">
        <v>-10000</v>
      </c>
      <c r="J703" s="5">
        <f t="shared" si="11"/>
        <v>56700</v>
      </c>
    </row>
    <row r="704" spans="1:10" x14ac:dyDescent="0.25">
      <c r="A704" s="6">
        <v>712</v>
      </c>
      <c r="B704" t="s">
        <v>1990</v>
      </c>
      <c r="C704" t="s">
        <v>727</v>
      </c>
      <c r="D704" t="s">
        <v>23</v>
      </c>
      <c r="E704" t="str">
        <f>VLOOKUP(D704,'Tên SP'!B$2:C$1070,2,0)</f>
        <v>NƯỚC XẢ VẢI LIXSOFT 3,6L/C04</v>
      </c>
      <c r="F704" s="4">
        <v>79000</v>
      </c>
      <c r="G704">
        <v>1</v>
      </c>
      <c r="H704" s="4">
        <v>79000</v>
      </c>
      <c r="I704" s="4">
        <v>0</v>
      </c>
      <c r="J704" s="5">
        <f t="shared" si="11"/>
        <v>79000</v>
      </c>
    </row>
    <row r="705" spans="1:10" x14ac:dyDescent="0.25">
      <c r="A705" s="6">
        <v>713</v>
      </c>
      <c r="B705" t="s">
        <v>1991</v>
      </c>
      <c r="C705" t="s">
        <v>728</v>
      </c>
      <c r="D705" t="s">
        <v>23</v>
      </c>
      <c r="E705" t="str">
        <f>VLOOKUP(D705,'Tên SP'!B$2:C$1070,2,0)</f>
        <v>NƯỚC XẢ VẢI LIXSOFT 3,6L/C04</v>
      </c>
      <c r="F705" s="4">
        <v>79000</v>
      </c>
      <c r="G705">
        <v>1</v>
      </c>
      <c r="H705" s="4">
        <v>79000</v>
      </c>
      <c r="I705" s="4">
        <v>0</v>
      </c>
      <c r="J705" s="5">
        <f t="shared" si="11"/>
        <v>79000</v>
      </c>
    </row>
    <row r="706" spans="1:10" x14ac:dyDescent="0.25">
      <c r="A706" s="6">
        <v>714</v>
      </c>
      <c r="B706" t="s">
        <v>1992</v>
      </c>
      <c r="C706" t="s">
        <v>729</v>
      </c>
      <c r="D706" t="s">
        <v>102</v>
      </c>
      <c r="E706" t="str">
        <f>VLOOKUP(D706,'Tên SP'!B$2:C$1070,2,0)</f>
        <v>NƯỚC GIẶT LIX HƯƠNG NƯỚC HOA 3,5KG/T04 TÚI</v>
      </c>
      <c r="F706" s="4">
        <v>91350</v>
      </c>
      <c r="G706">
        <v>1</v>
      </c>
      <c r="H706" s="4">
        <v>91350</v>
      </c>
      <c r="I706" s="4">
        <v>-7836</v>
      </c>
      <c r="J706" s="5">
        <f t="shared" si="11"/>
        <v>83514</v>
      </c>
    </row>
    <row r="707" spans="1:10" x14ac:dyDescent="0.25">
      <c r="A707" s="6">
        <v>715</v>
      </c>
      <c r="B707" t="s">
        <v>1992</v>
      </c>
      <c r="C707" t="s">
        <v>729</v>
      </c>
      <c r="D707" t="s">
        <v>67</v>
      </c>
      <c r="E707" t="str">
        <f>VLOOKUP(D707,'Tên SP'!B$2:C$1070,2,0)</f>
        <v>BỘT GIẶT LIX DD HƯƠNG NƯỚC HOA 800G/12</v>
      </c>
      <c r="F707" s="4">
        <v>25230</v>
      </c>
      <c r="G707">
        <v>1</v>
      </c>
      <c r="H707" s="4">
        <v>25230</v>
      </c>
      <c r="I707" s="4">
        <v>-2164</v>
      </c>
      <c r="J707" s="5">
        <f t="shared" si="11"/>
        <v>23066</v>
      </c>
    </row>
    <row r="708" spans="1:10" x14ac:dyDescent="0.25">
      <c r="A708" s="6">
        <v>716</v>
      </c>
      <c r="B708" t="s">
        <v>1993</v>
      </c>
      <c r="C708" t="s">
        <v>730</v>
      </c>
      <c r="D708" t="s">
        <v>23</v>
      </c>
      <c r="E708" t="str">
        <f>VLOOKUP(D708,'Tên SP'!B$2:C$1070,2,0)</f>
        <v>NƯỚC XẢ VẢI LIXSOFT 3,6L/C04</v>
      </c>
      <c r="F708" s="4">
        <v>79000</v>
      </c>
      <c r="G708">
        <v>1</v>
      </c>
      <c r="H708" s="4">
        <v>79000</v>
      </c>
      <c r="I708" s="4">
        <v>0</v>
      </c>
      <c r="J708" s="5">
        <f t="shared" si="11"/>
        <v>79000</v>
      </c>
    </row>
    <row r="709" spans="1:10" x14ac:dyDescent="0.25">
      <c r="A709" s="6">
        <v>717</v>
      </c>
      <c r="B709" t="s">
        <v>1994</v>
      </c>
      <c r="C709" t="s">
        <v>731</v>
      </c>
      <c r="D709" t="s">
        <v>23</v>
      </c>
      <c r="E709" t="str">
        <f>VLOOKUP(D709,'Tên SP'!B$2:C$1070,2,0)</f>
        <v>NƯỚC XẢ VẢI LIXSOFT 3,6L/C04</v>
      </c>
      <c r="F709" s="4">
        <v>79000</v>
      </c>
      <c r="G709">
        <v>1</v>
      </c>
      <c r="H709" s="4">
        <v>79000</v>
      </c>
      <c r="I709" s="4">
        <v>0</v>
      </c>
      <c r="J709" s="5">
        <f t="shared" si="11"/>
        <v>79000</v>
      </c>
    </row>
    <row r="710" spans="1:10" x14ac:dyDescent="0.25">
      <c r="A710" s="6">
        <v>718</v>
      </c>
      <c r="B710" t="s">
        <v>1995</v>
      </c>
      <c r="C710" t="s">
        <v>732</v>
      </c>
      <c r="D710" t="s">
        <v>23</v>
      </c>
      <c r="E710" t="str">
        <f>VLOOKUP(D710,'Tên SP'!B$2:C$1070,2,0)</f>
        <v>NƯỚC XẢ VẢI LIXSOFT 3,6L/C04</v>
      </c>
      <c r="F710" s="4">
        <v>79000</v>
      </c>
      <c r="G710">
        <v>1</v>
      </c>
      <c r="H710" s="4">
        <v>79000</v>
      </c>
      <c r="I710" s="4">
        <v>0</v>
      </c>
      <c r="J710" s="5">
        <f t="shared" si="11"/>
        <v>79000</v>
      </c>
    </row>
    <row r="711" spans="1:10" x14ac:dyDescent="0.25">
      <c r="A711" s="6">
        <v>719</v>
      </c>
      <c r="B711" t="s">
        <v>1996</v>
      </c>
      <c r="C711" t="s">
        <v>733</v>
      </c>
      <c r="D711" t="s">
        <v>23</v>
      </c>
      <c r="E711" t="str">
        <f>VLOOKUP(D711,'Tên SP'!B$2:C$1070,2,0)</f>
        <v>NƯỚC XẢ VẢI LIXSOFT 3,6L/C04</v>
      </c>
      <c r="F711" s="4">
        <v>79000</v>
      </c>
      <c r="G711">
        <v>1</v>
      </c>
      <c r="H711" s="4">
        <v>79000</v>
      </c>
      <c r="I711" s="4">
        <v>0</v>
      </c>
      <c r="J711" s="5">
        <f t="shared" si="11"/>
        <v>79000</v>
      </c>
    </row>
    <row r="712" spans="1:10" x14ac:dyDescent="0.25">
      <c r="A712" s="6">
        <v>720</v>
      </c>
      <c r="B712" t="s">
        <v>1997</v>
      </c>
      <c r="C712" t="s">
        <v>734</v>
      </c>
      <c r="D712" t="s">
        <v>81</v>
      </c>
      <c r="E712" t="str">
        <f>VLOOKUP(D712,'Tên SP'!B$2:C$1070,2,0)</f>
        <v>NƯỚC RỬA CHÉN SIÊU SẠCH TRÀ 3,5KG/T04- TÚI</v>
      </c>
      <c r="F712" s="4">
        <v>66700</v>
      </c>
      <c r="G712">
        <v>1</v>
      </c>
      <c r="H712" s="4">
        <v>66700</v>
      </c>
      <c r="I712" s="4">
        <v>-10000</v>
      </c>
      <c r="J712" s="5">
        <f t="shared" si="11"/>
        <v>56700</v>
      </c>
    </row>
    <row r="713" spans="1:10" x14ac:dyDescent="0.25">
      <c r="A713" s="6">
        <v>721</v>
      </c>
      <c r="B713" t="s">
        <v>1998</v>
      </c>
      <c r="C713" t="s">
        <v>735</v>
      </c>
      <c r="D713" t="s">
        <v>23</v>
      </c>
      <c r="E713" t="str">
        <f>VLOOKUP(D713,'Tên SP'!B$2:C$1070,2,0)</f>
        <v>NƯỚC XẢ VẢI LIXSOFT 3,6L/C04</v>
      </c>
      <c r="F713" s="4">
        <v>79000</v>
      </c>
      <c r="G713">
        <v>1</v>
      </c>
      <c r="H713" s="4">
        <v>79000</v>
      </c>
      <c r="I713" s="4">
        <v>0</v>
      </c>
      <c r="J713" s="5">
        <f t="shared" si="11"/>
        <v>79000</v>
      </c>
    </row>
    <row r="714" spans="1:10" x14ac:dyDescent="0.25">
      <c r="A714" s="6">
        <v>722</v>
      </c>
      <c r="B714" t="s">
        <v>1999</v>
      </c>
      <c r="C714" t="s">
        <v>736</v>
      </c>
      <c r="D714" t="s">
        <v>9</v>
      </c>
      <c r="E714" t="str">
        <f>VLOOKUP(D714,'Tên SP'!B$2:C$1070,2,0)</f>
        <v>NƯỚC GIẶT LIX ĐẬM ĐẶC 3,5KG/T04 TÚI</v>
      </c>
      <c r="F714" s="4">
        <v>93400</v>
      </c>
      <c r="G714">
        <v>1</v>
      </c>
      <c r="H714" s="4">
        <v>93400</v>
      </c>
      <c r="I714" s="4">
        <v>0</v>
      </c>
      <c r="J714" s="5">
        <f t="shared" si="11"/>
        <v>93400</v>
      </c>
    </row>
    <row r="715" spans="1:10" x14ac:dyDescent="0.25">
      <c r="A715" s="6">
        <v>723</v>
      </c>
      <c r="B715" t="s">
        <v>2000</v>
      </c>
      <c r="C715" t="s">
        <v>737</v>
      </c>
      <c r="D715" t="s">
        <v>95</v>
      </c>
      <c r="E715" t="str">
        <f>VLOOKUP(D715,'Tên SP'!B$2:C$1070,2,0)</f>
        <v>NƯỚC LAU SÀN LIX ĐUỐI CÔN TRÙNG 1L/CH12</v>
      </c>
      <c r="F715" s="4">
        <v>29300</v>
      </c>
      <c r="G715">
        <v>1</v>
      </c>
      <c r="H715" s="4">
        <v>29300</v>
      </c>
      <c r="I715" s="4">
        <v>0</v>
      </c>
      <c r="J715" s="5">
        <f t="shared" si="11"/>
        <v>29300</v>
      </c>
    </row>
    <row r="716" spans="1:10" x14ac:dyDescent="0.25">
      <c r="A716" s="6">
        <v>724</v>
      </c>
      <c r="B716" t="s">
        <v>2000</v>
      </c>
      <c r="C716" t="s">
        <v>737</v>
      </c>
      <c r="D716" t="s">
        <v>194</v>
      </c>
      <c r="E716" t="str">
        <f>VLOOKUP(D716,'Tên SP'!B$2:C$1070,2,0)</f>
        <v>GEL TẨY BỒN CẦU &amp; NHÀ TẮM ON1 500G/CH24</v>
      </c>
      <c r="F716" s="4">
        <v>31100</v>
      </c>
      <c r="G716">
        <v>1</v>
      </c>
      <c r="H716" s="4">
        <v>31100</v>
      </c>
      <c r="I716" s="4">
        <v>0</v>
      </c>
      <c r="J716" s="5">
        <f t="shared" si="11"/>
        <v>31100</v>
      </c>
    </row>
    <row r="717" spans="1:10" x14ac:dyDescent="0.25">
      <c r="A717" s="6">
        <v>725</v>
      </c>
      <c r="B717" t="s">
        <v>2000</v>
      </c>
      <c r="C717" t="s">
        <v>737</v>
      </c>
      <c r="D717" t="s">
        <v>23</v>
      </c>
      <c r="E717" t="str">
        <f>VLOOKUP(D717,'Tên SP'!B$2:C$1070,2,0)</f>
        <v>NƯỚC XẢ VẢI LIXSOFT 3,6L/C04</v>
      </c>
      <c r="F717" s="4">
        <v>79000</v>
      </c>
      <c r="G717">
        <v>1</v>
      </c>
      <c r="H717" s="4">
        <v>79000</v>
      </c>
      <c r="I717" s="4">
        <v>0</v>
      </c>
      <c r="J717" s="5">
        <f t="shared" si="11"/>
        <v>79000</v>
      </c>
    </row>
    <row r="718" spans="1:10" x14ac:dyDescent="0.25">
      <c r="A718" s="6">
        <v>726</v>
      </c>
      <c r="B718" t="s">
        <v>2001</v>
      </c>
      <c r="C718" t="s">
        <v>738</v>
      </c>
      <c r="D718" t="s">
        <v>23</v>
      </c>
      <c r="E718" t="str">
        <f>VLOOKUP(D718,'Tên SP'!B$2:C$1070,2,0)</f>
        <v>NƯỚC XẢ VẢI LIXSOFT 3,6L/C04</v>
      </c>
      <c r="F718" s="4">
        <v>79000</v>
      </c>
      <c r="G718">
        <v>1</v>
      </c>
      <c r="H718" s="4">
        <v>79000</v>
      </c>
      <c r="I718" s="4">
        <v>-10000</v>
      </c>
      <c r="J718" s="5">
        <f t="shared" si="11"/>
        <v>69000</v>
      </c>
    </row>
    <row r="719" spans="1:10" x14ac:dyDescent="0.25">
      <c r="A719" s="6">
        <v>727</v>
      </c>
      <c r="B719" t="s">
        <v>2002</v>
      </c>
      <c r="C719" t="s">
        <v>739</v>
      </c>
      <c r="D719" t="s">
        <v>23</v>
      </c>
      <c r="E719" t="str">
        <f>VLOOKUP(D719,'Tên SP'!B$2:C$1070,2,0)</f>
        <v>NƯỚC XẢ VẢI LIXSOFT 3,6L/C04</v>
      </c>
      <c r="F719" s="4">
        <v>79000</v>
      </c>
      <c r="G719">
        <v>1</v>
      </c>
      <c r="H719" s="4">
        <v>79000</v>
      </c>
      <c r="I719" s="4">
        <v>0</v>
      </c>
      <c r="J719" s="5">
        <f t="shared" si="11"/>
        <v>79000</v>
      </c>
    </row>
    <row r="720" spans="1:10" x14ac:dyDescent="0.25">
      <c r="A720" s="6">
        <v>728</v>
      </c>
      <c r="B720" t="s">
        <v>2003</v>
      </c>
      <c r="C720" t="s">
        <v>740</v>
      </c>
      <c r="D720" t="s">
        <v>23</v>
      </c>
      <c r="E720" t="str">
        <f>VLOOKUP(D720,'Tên SP'!B$2:C$1070,2,0)</f>
        <v>NƯỚC XẢ VẢI LIXSOFT 3,6L/C04</v>
      </c>
      <c r="F720" s="4">
        <v>79000</v>
      </c>
      <c r="G720">
        <v>1</v>
      </c>
      <c r="H720" s="4">
        <v>79000</v>
      </c>
      <c r="I720" s="4">
        <v>-10000</v>
      </c>
      <c r="J720" s="5">
        <f t="shared" si="11"/>
        <v>69000</v>
      </c>
    </row>
    <row r="721" spans="1:10" x14ac:dyDescent="0.25">
      <c r="A721" s="6">
        <v>729</v>
      </c>
      <c r="B721" t="s">
        <v>2004</v>
      </c>
      <c r="C721" t="s">
        <v>741</v>
      </c>
      <c r="D721" t="s">
        <v>23</v>
      </c>
      <c r="E721" t="str">
        <f>VLOOKUP(D721,'Tên SP'!B$2:C$1070,2,0)</f>
        <v>NƯỚC XẢ VẢI LIXSOFT 3,6L/C04</v>
      </c>
      <c r="F721" s="4">
        <v>79000</v>
      </c>
      <c r="G721">
        <v>1</v>
      </c>
      <c r="H721" s="4">
        <v>79000</v>
      </c>
      <c r="I721" s="4">
        <v>-10000</v>
      </c>
      <c r="J721" s="5">
        <f t="shared" si="11"/>
        <v>69000</v>
      </c>
    </row>
    <row r="722" spans="1:10" x14ac:dyDescent="0.25">
      <c r="A722" s="6">
        <v>730</v>
      </c>
      <c r="B722" t="s">
        <v>2005</v>
      </c>
      <c r="C722" t="s">
        <v>742</v>
      </c>
      <c r="D722" t="s">
        <v>23</v>
      </c>
      <c r="E722" t="str">
        <f>VLOOKUP(D722,'Tên SP'!B$2:C$1070,2,0)</f>
        <v>NƯỚC XẢ VẢI LIXSOFT 3,6L/C04</v>
      </c>
      <c r="F722" s="4">
        <v>79000</v>
      </c>
      <c r="G722">
        <v>1</v>
      </c>
      <c r="H722" s="4">
        <v>79000</v>
      </c>
      <c r="I722" s="4">
        <v>-10000</v>
      </c>
      <c r="J722" s="5">
        <f t="shared" si="11"/>
        <v>69000</v>
      </c>
    </row>
    <row r="723" spans="1:10" x14ac:dyDescent="0.25">
      <c r="A723" s="6">
        <v>731</v>
      </c>
      <c r="B723" t="s">
        <v>2006</v>
      </c>
      <c r="C723" t="s">
        <v>743</v>
      </c>
      <c r="D723" t="s">
        <v>23</v>
      </c>
      <c r="E723" t="str">
        <f>VLOOKUP(D723,'Tên SP'!B$2:C$1070,2,0)</f>
        <v>NƯỚC XẢ VẢI LIXSOFT 3,6L/C04</v>
      </c>
      <c r="F723" s="4">
        <v>79000</v>
      </c>
      <c r="G723">
        <v>1</v>
      </c>
      <c r="H723" s="4">
        <v>79000</v>
      </c>
      <c r="I723" s="4">
        <v>0</v>
      </c>
      <c r="J723" s="5">
        <f t="shared" si="11"/>
        <v>79000</v>
      </c>
    </row>
    <row r="724" spans="1:10" x14ac:dyDescent="0.25">
      <c r="A724" s="6">
        <v>732</v>
      </c>
      <c r="B724" t="s">
        <v>2007</v>
      </c>
      <c r="C724" t="s">
        <v>744</v>
      </c>
      <c r="D724" t="s">
        <v>23</v>
      </c>
      <c r="E724" t="str">
        <f>VLOOKUP(D724,'Tên SP'!B$2:C$1070,2,0)</f>
        <v>NƯỚC XẢ VẢI LIXSOFT 3,6L/C04</v>
      </c>
      <c r="F724" s="4">
        <v>79000</v>
      </c>
      <c r="G724">
        <v>1</v>
      </c>
      <c r="H724" s="4">
        <v>79000</v>
      </c>
      <c r="I724" s="4">
        <v>0</v>
      </c>
      <c r="J724" s="5">
        <f t="shared" si="11"/>
        <v>79000</v>
      </c>
    </row>
    <row r="725" spans="1:10" x14ac:dyDescent="0.25">
      <c r="A725" s="6">
        <v>733</v>
      </c>
      <c r="B725" t="s">
        <v>2008</v>
      </c>
      <c r="C725" t="s">
        <v>745</v>
      </c>
      <c r="D725" t="s">
        <v>23</v>
      </c>
      <c r="E725" t="str">
        <f>VLOOKUP(D725,'Tên SP'!B$2:C$1070,2,0)</f>
        <v>NƯỚC XẢ VẢI LIXSOFT 3,6L/C04</v>
      </c>
      <c r="F725" s="4">
        <v>79000</v>
      </c>
      <c r="G725">
        <v>1</v>
      </c>
      <c r="H725" s="4">
        <v>79000</v>
      </c>
      <c r="I725" s="4">
        <v>0</v>
      </c>
      <c r="J725" s="5">
        <f t="shared" si="11"/>
        <v>79000</v>
      </c>
    </row>
    <row r="726" spans="1:10" x14ac:dyDescent="0.25">
      <c r="A726" s="6">
        <v>734</v>
      </c>
      <c r="B726" t="s">
        <v>2009</v>
      </c>
      <c r="C726" t="s">
        <v>746</v>
      </c>
      <c r="D726" t="s">
        <v>71</v>
      </c>
      <c r="E726" t="str">
        <f>VLOOKUP(D726,'Tên SP'!B$2:C$1070,2,0)</f>
        <v>NƯỚC RỬA CHÉN SIÊU SẠCH CHANH 3,5KG/T04- TÚI</v>
      </c>
      <c r="F726" s="4">
        <v>66700</v>
      </c>
      <c r="G726">
        <v>1</v>
      </c>
      <c r="H726" s="4">
        <v>66700</v>
      </c>
      <c r="I726" s="4">
        <v>-10000</v>
      </c>
      <c r="J726" s="5">
        <f t="shared" si="11"/>
        <v>56700</v>
      </c>
    </row>
    <row r="727" spans="1:10" x14ac:dyDescent="0.25">
      <c r="A727" s="6">
        <v>735</v>
      </c>
      <c r="B727" t="s">
        <v>2010</v>
      </c>
      <c r="C727" t="s">
        <v>747</v>
      </c>
      <c r="D727" t="s">
        <v>23</v>
      </c>
      <c r="E727" t="str">
        <f>VLOOKUP(D727,'Tên SP'!B$2:C$1070,2,0)</f>
        <v>NƯỚC XẢ VẢI LIXSOFT 3,6L/C04</v>
      </c>
      <c r="F727" s="4">
        <v>79000</v>
      </c>
      <c r="G727">
        <v>1</v>
      </c>
      <c r="H727" s="4">
        <v>79000</v>
      </c>
      <c r="I727" s="4">
        <v>-10000</v>
      </c>
      <c r="J727" s="5">
        <f t="shared" si="11"/>
        <v>69000</v>
      </c>
    </row>
    <row r="728" spans="1:10" x14ac:dyDescent="0.25">
      <c r="A728" s="6">
        <v>736</v>
      </c>
      <c r="B728" t="s">
        <v>2011</v>
      </c>
      <c r="C728" t="s">
        <v>748</v>
      </c>
      <c r="D728" t="s">
        <v>23</v>
      </c>
      <c r="E728" t="str">
        <f>VLOOKUP(D728,'Tên SP'!B$2:C$1070,2,0)</f>
        <v>NƯỚC XẢ VẢI LIXSOFT 3,6L/C04</v>
      </c>
      <c r="F728" s="4">
        <v>79000</v>
      </c>
      <c r="G728">
        <v>1</v>
      </c>
      <c r="H728" s="4">
        <v>79000</v>
      </c>
      <c r="I728" s="4">
        <v>0</v>
      </c>
      <c r="J728" s="5">
        <f t="shared" si="11"/>
        <v>79000</v>
      </c>
    </row>
    <row r="729" spans="1:10" x14ac:dyDescent="0.25">
      <c r="A729" s="6">
        <v>737</v>
      </c>
      <c r="B729" t="s">
        <v>2012</v>
      </c>
      <c r="C729" t="s">
        <v>749</v>
      </c>
      <c r="D729" t="s">
        <v>23</v>
      </c>
      <c r="E729" t="str">
        <f>VLOOKUP(D729,'Tên SP'!B$2:C$1070,2,0)</f>
        <v>NƯỚC XẢ VẢI LIXSOFT 3,6L/C04</v>
      </c>
      <c r="F729" s="4">
        <v>79000</v>
      </c>
      <c r="G729">
        <v>1</v>
      </c>
      <c r="H729" s="4">
        <v>79000</v>
      </c>
      <c r="I729" s="4">
        <v>0</v>
      </c>
      <c r="J729" s="5">
        <f t="shared" si="11"/>
        <v>79000</v>
      </c>
    </row>
    <row r="730" spans="1:10" x14ac:dyDescent="0.25">
      <c r="A730" s="6">
        <v>738</v>
      </c>
      <c r="B730" t="s">
        <v>2013</v>
      </c>
      <c r="C730" t="s">
        <v>750</v>
      </c>
      <c r="D730" t="s">
        <v>23</v>
      </c>
      <c r="E730" t="str">
        <f>VLOOKUP(D730,'Tên SP'!B$2:C$1070,2,0)</f>
        <v>NƯỚC XẢ VẢI LIXSOFT 3,6L/C04</v>
      </c>
      <c r="F730" s="4">
        <v>79000</v>
      </c>
      <c r="G730">
        <v>1</v>
      </c>
      <c r="H730" s="4">
        <v>79000</v>
      </c>
      <c r="I730" s="4">
        <v>-10000</v>
      </c>
      <c r="J730" s="5">
        <f t="shared" si="11"/>
        <v>69000</v>
      </c>
    </row>
    <row r="731" spans="1:10" x14ac:dyDescent="0.25">
      <c r="A731" s="6">
        <v>739</v>
      </c>
      <c r="B731" t="s">
        <v>2014</v>
      </c>
      <c r="C731" t="s">
        <v>751</v>
      </c>
      <c r="D731" t="s">
        <v>23</v>
      </c>
      <c r="E731" t="str">
        <f>VLOOKUP(D731,'Tên SP'!B$2:C$1070,2,0)</f>
        <v>NƯỚC XẢ VẢI LIXSOFT 3,6L/C04</v>
      </c>
      <c r="F731" s="4">
        <v>79000</v>
      </c>
      <c r="G731">
        <v>1</v>
      </c>
      <c r="H731" s="4">
        <v>79000</v>
      </c>
      <c r="I731" s="4">
        <v>-10000</v>
      </c>
      <c r="J731" s="5">
        <f t="shared" si="11"/>
        <v>69000</v>
      </c>
    </row>
    <row r="732" spans="1:10" x14ac:dyDescent="0.25">
      <c r="A732" s="6">
        <v>740</v>
      </c>
      <c r="B732" t="s">
        <v>2015</v>
      </c>
      <c r="C732" t="s">
        <v>752</v>
      </c>
      <c r="D732" t="s">
        <v>23</v>
      </c>
      <c r="E732" t="str">
        <f>VLOOKUP(D732,'Tên SP'!B$2:C$1070,2,0)</f>
        <v>NƯỚC XẢ VẢI LIXSOFT 3,6L/C04</v>
      </c>
      <c r="F732" s="4">
        <v>79000</v>
      </c>
      <c r="G732">
        <v>1</v>
      </c>
      <c r="H732" s="4">
        <v>79000</v>
      </c>
      <c r="I732" s="4">
        <v>-10000</v>
      </c>
      <c r="J732" s="5">
        <f t="shared" si="11"/>
        <v>69000</v>
      </c>
    </row>
    <row r="733" spans="1:10" x14ac:dyDescent="0.25">
      <c r="A733" s="6">
        <v>741</v>
      </c>
      <c r="B733" t="s">
        <v>2016</v>
      </c>
      <c r="C733" t="s">
        <v>753</v>
      </c>
      <c r="D733" t="s">
        <v>23</v>
      </c>
      <c r="E733" t="str">
        <f>VLOOKUP(D733,'Tên SP'!B$2:C$1070,2,0)</f>
        <v>NƯỚC XẢ VẢI LIXSOFT 3,6L/C04</v>
      </c>
      <c r="F733" s="4">
        <v>79000</v>
      </c>
      <c r="G733">
        <v>1</v>
      </c>
      <c r="H733" s="4">
        <v>79000</v>
      </c>
      <c r="I733" s="4">
        <v>0</v>
      </c>
      <c r="J733" s="5">
        <f t="shared" si="11"/>
        <v>79000</v>
      </c>
    </row>
    <row r="734" spans="1:10" x14ac:dyDescent="0.25">
      <c r="A734" s="6">
        <v>742</v>
      </c>
      <c r="B734" t="s">
        <v>2017</v>
      </c>
      <c r="C734" t="s">
        <v>754</v>
      </c>
      <c r="D734" t="s">
        <v>104</v>
      </c>
      <c r="E734" t="str">
        <f>VLOOKUP(D734,'Tên SP'!B$2:C$1070,2,0)</f>
        <v>NƯỚC GIẶT LIX ĐẬM ĐẶC 2KG/C06</v>
      </c>
      <c r="F734" s="4">
        <v>61400</v>
      </c>
      <c r="G734">
        <v>1</v>
      </c>
      <c r="H734" s="4">
        <v>61400</v>
      </c>
      <c r="I734" s="4">
        <v>0</v>
      </c>
      <c r="J734" s="5">
        <f t="shared" si="11"/>
        <v>61400</v>
      </c>
    </row>
    <row r="735" spans="1:10" x14ac:dyDescent="0.25">
      <c r="A735" s="6">
        <v>743</v>
      </c>
      <c r="B735" t="s">
        <v>2018</v>
      </c>
      <c r="C735" t="s">
        <v>755</v>
      </c>
      <c r="D735" t="s">
        <v>23</v>
      </c>
      <c r="E735" t="str">
        <f>VLOOKUP(D735,'Tên SP'!B$2:C$1070,2,0)</f>
        <v>NƯỚC XẢ VẢI LIXSOFT 3,6L/C04</v>
      </c>
      <c r="F735" s="4">
        <v>79000</v>
      </c>
      <c r="G735">
        <v>1</v>
      </c>
      <c r="H735" s="4">
        <v>79000</v>
      </c>
      <c r="I735" s="4">
        <v>-10000</v>
      </c>
      <c r="J735" s="5">
        <f t="shared" si="11"/>
        <v>69000</v>
      </c>
    </row>
    <row r="736" spans="1:10" x14ac:dyDescent="0.25">
      <c r="A736" s="6">
        <v>744</v>
      </c>
      <c r="B736" t="s">
        <v>2019</v>
      </c>
      <c r="C736" t="s">
        <v>756</v>
      </c>
      <c r="D736" t="s">
        <v>9</v>
      </c>
      <c r="E736" t="str">
        <f>VLOOKUP(D736,'Tên SP'!B$2:C$1070,2,0)</f>
        <v>NƯỚC GIẶT LIX ĐẬM ĐẶC 3,5KG/T04 TÚI</v>
      </c>
      <c r="F736" s="4">
        <v>94500</v>
      </c>
      <c r="G736">
        <v>1</v>
      </c>
      <c r="H736" s="4">
        <v>94500</v>
      </c>
      <c r="I736" s="4">
        <v>-10000</v>
      </c>
      <c r="J736" s="5">
        <f t="shared" si="11"/>
        <v>84500</v>
      </c>
    </row>
    <row r="737" spans="1:10" x14ac:dyDescent="0.25">
      <c r="A737" s="6">
        <v>745</v>
      </c>
      <c r="B737" t="s">
        <v>2020</v>
      </c>
      <c r="C737" t="s">
        <v>757</v>
      </c>
      <c r="D737" t="s">
        <v>69</v>
      </c>
      <c r="E737" t="str">
        <f>VLOOKUP(D737,'Tên SP'!B$2:C$1070,2,0)</f>
        <v>BỘT GIẶT LIX DD HƯƠNG NƯỚC HOA 400G/24</v>
      </c>
      <c r="F737" s="4">
        <v>17100</v>
      </c>
      <c r="G737">
        <v>1</v>
      </c>
      <c r="H737" s="4">
        <v>17100</v>
      </c>
      <c r="I737" s="4">
        <v>-2565</v>
      </c>
      <c r="J737" s="5">
        <f t="shared" si="11"/>
        <v>14535</v>
      </c>
    </row>
    <row r="738" spans="1:10" x14ac:dyDescent="0.25">
      <c r="A738" s="6">
        <v>746</v>
      </c>
      <c r="B738" t="s">
        <v>2020</v>
      </c>
      <c r="C738" t="s">
        <v>757</v>
      </c>
      <c r="D738" t="s">
        <v>69</v>
      </c>
      <c r="E738" t="str">
        <f>VLOOKUP(D738,'Tên SP'!B$2:C$1070,2,0)</f>
        <v>BỘT GIẶT LIX DD HƯƠNG NƯỚC HOA 400G/24</v>
      </c>
      <c r="F738" s="4">
        <v>17100</v>
      </c>
      <c r="G738">
        <v>1</v>
      </c>
      <c r="H738" s="4">
        <v>17100</v>
      </c>
      <c r="I738" s="4">
        <v>-2565</v>
      </c>
      <c r="J738" s="5">
        <f t="shared" si="11"/>
        <v>14535</v>
      </c>
    </row>
    <row r="739" spans="1:10" x14ac:dyDescent="0.25">
      <c r="A739" s="6">
        <v>747</v>
      </c>
      <c r="B739" t="s">
        <v>2021</v>
      </c>
      <c r="C739" t="s">
        <v>758</v>
      </c>
      <c r="D739" t="s">
        <v>102</v>
      </c>
      <c r="E739" t="str">
        <f>VLOOKUP(D739,'Tên SP'!B$2:C$1070,2,0)</f>
        <v>NƯỚC GIẶT LIX HƯƠNG NƯỚC HOA 3,5KG/T04 TÚI</v>
      </c>
      <c r="F739" s="4">
        <v>94500</v>
      </c>
      <c r="G739">
        <v>1</v>
      </c>
      <c r="H739" s="4">
        <v>94500</v>
      </c>
      <c r="I739" s="4">
        <v>-10000</v>
      </c>
      <c r="J739" s="5">
        <f t="shared" si="11"/>
        <v>84500</v>
      </c>
    </row>
    <row r="740" spans="1:10" x14ac:dyDescent="0.25">
      <c r="A740" s="6">
        <v>748</v>
      </c>
      <c r="B740" t="s">
        <v>2022</v>
      </c>
      <c r="C740" t="s">
        <v>759</v>
      </c>
      <c r="D740" t="s">
        <v>158</v>
      </c>
      <c r="E740" t="str">
        <f>VLOOKUP(D740,'Tên SP'!B$2:C$1070,2,0)</f>
        <v>NƯỚC GIẶT XẢ ON1 BAMBOO CHARCOAL 3,5KG/T04 (TÚI)</v>
      </c>
      <c r="F740" s="4">
        <v>130500</v>
      </c>
      <c r="G740">
        <v>1</v>
      </c>
      <c r="H740" s="4">
        <v>130500</v>
      </c>
      <c r="I740" s="4">
        <v>-7500</v>
      </c>
      <c r="J740" s="5">
        <f t="shared" si="11"/>
        <v>123000</v>
      </c>
    </row>
    <row r="741" spans="1:10" x14ac:dyDescent="0.25">
      <c r="A741" s="6">
        <v>749</v>
      </c>
      <c r="B741" t="s">
        <v>2022</v>
      </c>
      <c r="C741" t="s">
        <v>759</v>
      </c>
      <c r="D741" t="s">
        <v>158</v>
      </c>
      <c r="E741" t="str">
        <f>VLOOKUP(D741,'Tên SP'!B$2:C$1070,2,0)</f>
        <v>NƯỚC GIẶT XẢ ON1 BAMBOO CHARCOAL 3,5KG/T04 (TÚI)</v>
      </c>
      <c r="F741" s="4">
        <v>130500</v>
      </c>
      <c r="G741">
        <v>1</v>
      </c>
      <c r="H741" s="4">
        <v>130500</v>
      </c>
      <c r="I741" s="4">
        <v>-7500</v>
      </c>
      <c r="J741" s="5">
        <f t="shared" si="11"/>
        <v>123000</v>
      </c>
    </row>
    <row r="742" spans="1:10" x14ac:dyDescent="0.25">
      <c r="A742" s="6">
        <v>750</v>
      </c>
      <c r="B742" t="s">
        <v>2023</v>
      </c>
      <c r="C742" t="s">
        <v>760</v>
      </c>
      <c r="D742" t="s">
        <v>178</v>
      </c>
      <c r="E742" t="str">
        <f>VLOOKUP(D742,'Tên SP'!B$2:C$1070,2,0)</f>
        <v>NƯỚC RỬA TAY ON1 SAKURA 500ML/CH20</v>
      </c>
      <c r="F742" s="4">
        <v>45000</v>
      </c>
      <c r="G742">
        <v>1</v>
      </c>
      <c r="H742" s="4">
        <v>45000</v>
      </c>
      <c r="I742" s="4">
        <v>0</v>
      </c>
      <c r="J742" s="5">
        <f t="shared" si="11"/>
        <v>45000</v>
      </c>
    </row>
    <row r="743" spans="1:10" x14ac:dyDescent="0.25">
      <c r="A743" s="6">
        <v>751</v>
      </c>
      <c r="B743" t="s">
        <v>2024</v>
      </c>
      <c r="C743" t="s">
        <v>761</v>
      </c>
      <c r="D743" t="s">
        <v>108</v>
      </c>
      <c r="E743" t="str">
        <f>VLOOKUP(D743,'Tên SP'!B$2:C$1070,2,0)</f>
        <v>NƯỚC GIẶT LIX SIÊU SẠCH HOA ANH ĐÀO 3.5KG/C04</v>
      </c>
      <c r="F743" s="4">
        <v>103000</v>
      </c>
      <c r="G743">
        <v>1</v>
      </c>
      <c r="H743" s="4">
        <v>103000</v>
      </c>
      <c r="I743" s="4">
        <v>0</v>
      </c>
      <c r="J743" s="5">
        <f t="shared" si="11"/>
        <v>103000</v>
      </c>
    </row>
    <row r="744" spans="1:10" x14ac:dyDescent="0.25">
      <c r="A744" s="6">
        <v>752</v>
      </c>
      <c r="B744" t="s">
        <v>2025</v>
      </c>
      <c r="C744" t="s">
        <v>762</v>
      </c>
      <c r="D744" t="s">
        <v>31</v>
      </c>
      <c r="E744" t="str">
        <f>VLOOKUP(D744,'Tên SP'!B$2:C$1070,2,0)</f>
        <v>BỘT GIẶT LIXE 5,5KG/03</v>
      </c>
      <c r="F744" s="4">
        <v>130500</v>
      </c>
      <c r="G744">
        <v>1</v>
      </c>
      <c r="H744" s="4">
        <v>130500</v>
      </c>
      <c r="I744" s="4">
        <v>-50000</v>
      </c>
      <c r="J744" s="5">
        <f t="shared" si="11"/>
        <v>80500</v>
      </c>
    </row>
    <row r="745" spans="1:10" x14ac:dyDescent="0.25">
      <c r="A745" s="6">
        <v>753</v>
      </c>
      <c r="B745" t="s">
        <v>2026</v>
      </c>
      <c r="C745" t="s">
        <v>763</v>
      </c>
      <c r="D745" t="s">
        <v>100</v>
      </c>
      <c r="E745" t="str">
        <f>VLOOKUP(D745,'Tên SP'!B$2:C$1070,2,0)</f>
        <v>NƯỚC GIẶT LIX HƯƠNG NƯỚC HOA 3,6KG/C04</v>
      </c>
      <c r="F745" s="4">
        <v>108000</v>
      </c>
      <c r="G745">
        <v>1</v>
      </c>
      <c r="H745" s="4">
        <v>108000</v>
      </c>
      <c r="I745" s="4">
        <v>0</v>
      </c>
      <c r="J745" s="5">
        <f t="shared" si="11"/>
        <v>108000</v>
      </c>
    </row>
    <row r="746" spans="1:10" x14ac:dyDescent="0.25">
      <c r="A746" s="6">
        <v>754</v>
      </c>
      <c r="B746" t="s">
        <v>2027</v>
      </c>
      <c r="C746" t="s">
        <v>764</v>
      </c>
      <c r="D746" t="s">
        <v>9</v>
      </c>
      <c r="E746" t="str">
        <f>VLOOKUP(D746,'Tên SP'!B$2:C$1070,2,0)</f>
        <v>NƯỚC GIẶT LIX ĐẬM ĐẶC 3,5KG/T04 TÚI</v>
      </c>
      <c r="F746" s="4">
        <v>94500</v>
      </c>
      <c r="G746">
        <v>1</v>
      </c>
      <c r="H746" s="4">
        <v>94500</v>
      </c>
      <c r="I746" s="4">
        <v>-10000</v>
      </c>
      <c r="J746" s="5">
        <f t="shared" si="11"/>
        <v>84500</v>
      </c>
    </row>
    <row r="747" spans="1:10" x14ac:dyDescent="0.25">
      <c r="A747" s="6">
        <v>755</v>
      </c>
      <c r="B747" t="s">
        <v>2028</v>
      </c>
      <c r="C747" t="s">
        <v>765</v>
      </c>
      <c r="D747" t="s">
        <v>94</v>
      </c>
      <c r="E747" t="str">
        <f>VLOOKUP(D747,'Tên SP'!B$2:C$1070,2,0)</f>
        <v>NƯỚC LAU SÀN ĐUỔI CÔN TRÙNG LIX 2L/C08</v>
      </c>
      <c r="F747" s="4">
        <v>49200</v>
      </c>
      <c r="G747">
        <v>1</v>
      </c>
      <c r="H747" s="4">
        <v>49200</v>
      </c>
      <c r="I747" s="4">
        <v>0</v>
      </c>
      <c r="J747" s="5">
        <f t="shared" si="11"/>
        <v>49200</v>
      </c>
    </row>
    <row r="748" spans="1:10" x14ac:dyDescent="0.25">
      <c r="A748" s="6">
        <v>756</v>
      </c>
      <c r="B748" t="s">
        <v>2029</v>
      </c>
      <c r="C748" t="s">
        <v>766</v>
      </c>
      <c r="D748" t="s">
        <v>140</v>
      </c>
      <c r="E748" t="str">
        <f>VLOOKUP(D748,'Tên SP'!B$2:C$1070,2,0)</f>
        <v>NƯỚC RỬA CHÉN ON1 TINH DẦU GỪNG CAM 1KG/CH12</v>
      </c>
      <c r="F748" s="4">
        <v>53100</v>
      </c>
      <c r="G748">
        <v>1</v>
      </c>
      <c r="H748" s="4">
        <v>53100</v>
      </c>
      <c r="I748" s="4">
        <v>-3402</v>
      </c>
      <c r="J748" s="5">
        <f t="shared" si="11"/>
        <v>49698</v>
      </c>
    </row>
    <row r="749" spans="1:10" x14ac:dyDescent="0.25">
      <c r="A749" s="6">
        <v>757</v>
      </c>
      <c r="B749" t="s">
        <v>2029</v>
      </c>
      <c r="C749" t="s">
        <v>766</v>
      </c>
      <c r="D749" t="s">
        <v>108</v>
      </c>
      <c r="E749" t="str">
        <f>VLOOKUP(D749,'Tên SP'!B$2:C$1070,2,0)</f>
        <v>NƯỚC GIẶT LIX SIÊU SẠCH HOA ANH ĐÀO 3.5KG/C04</v>
      </c>
      <c r="F749" s="4">
        <v>103000</v>
      </c>
      <c r="G749">
        <v>1</v>
      </c>
      <c r="H749" s="4">
        <v>103000</v>
      </c>
      <c r="I749" s="4">
        <v>-6598</v>
      </c>
      <c r="J749" s="5">
        <f t="shared" si="11"/>
        <v>96402</v>
      </c>
    </row>
    <row r="750" spans="1:10" x14ac:dyDescent="0.25">
      <c r="A750" s="6">
        <v>758</v>
      </c>
      <c r="B750" t="s">
        <v>2030</v>
      </c>
      <c r="C750" t="s">
        <v>767</v>
      </c>
      <c r="D750" t="s">
        <v>108</v>
      </c>
      <c r="E750" t="str">
        <f>VLOOKUP(D750,'Tên SP'!B$2:C$1070,2,0)</f>
        <v>NƯỚC GIẶT LIX SIÊU SẠCH HOA ANH ĐÀO 3.5KG/C04</v>
      </c>
      <c r="F750" s="4">
        <v>103000</v>
      </c>
      <c r="G750">
        <v>1</v>
      </c>
      <c r="H750" s="4">
        <v>103000</v>
      </c>
      <c r="I750" s="4">
        <v>0</v>
      </c>
      <c r="J750" s="5">
        <f t="shared" si="11"/>
        <v>103000</v>
      </c>
    </row>
    <row r="751" spans="1:10" x14ac:dyDescent="0.25">
      <c r="A751" s="6">
        <v>759</v>
      </c>
      <c r="B751" t="s">
        <v>2031</v>
      </c>
      <c r="C751" t="s">
        <v>768</v>
      </c>
      <c r="D751" t="s">
        <v>104</v>
      </c>
      <c r="E751" t="str">
        <f>VLOOKUP(D751,'Tên SP'!B$2:C$1070,2,0)</f>
        <v>NƯỚC GIẶT LIX ĐẬM ĐẶC 2KG/C06</v>
      </c>
      <c r="F751" s="4">
        <v>62100</v>
      </c>
      <c r="G751">
        <v>1</v>
      </c>
      <c r="H751" s="4">
        <v>62100</v>
      </c>
      <c r="I751" s="4">
        <v>-9315</v>
      </c>
      <c r="J751" s="5">
        <f t="shared" si="11"/>
        <v>52785</v>
      </c>
    </row>
    <row r="752" spans="1:10" x14ac:dyDescent="0.25">
      <c r="A752" s="6">
        <v>760</v>
      </c>
      <c r="B752" t="s">
        <v>2032</v>
      </c>
      <c r="C752" t="s">
        <v>769</v>
      </c>
      <c r="D752" t="s">
        <v>23</v>
      </c>
      <c r="E752" t="str">
        <f>VLOOKUP(D752,'Tên SP'!B$2:C$1070,2,0)</f>
        <v>NƯỚC XẢ VẢI LIXSOFT 3,6L/C04</v>
      </c>
      <c r="F752" s="4">
        <v>82800</v>
      </c>
      <c r="G752">
        <v>1</v>
      </c>
      <c r="H752" s="4">
        <v>82800</v>
      </c>
      <c r="I752" s="4">
        <v>0</v>
      </c>
      <c r="J752" s="5">
        <f t="shared" si="11"/>
        <v>82800</v>
      </c>
    </row>
    <row r="753" spans="1:10" x14ac:dyDescent="0.25">
      <c r="A753" s="6">
        <v>761</v>
      </c>
      <c r="B753" t="s">
        <v>2033</v>
      </c>
      <c r="C753" t="s">
        <v>770</v>
      </c>
      <c r="D753" t="s">
        <v>106</v>
      </c>
      <c r="E753" t="str">
        <f>VLOOKUP(D753,'Tên SP'!B$2:C$1070,2,0)</f>
        <v>NƯỚC GIẶT LIX SIÊU SẠCH HOA ANH ĐÀO 2.4KG/T06</v>
      </c>
      <c r="F753" s="4">
        <v>62100</v>
      </c>
      <c r="G753">
        <v>1</v>
      </c>
      <c r="H753" s="4">
        <v>62100</v>
      </c>
      <c r="I753" s="4">
        <v>-9315</v>
      </c>
      <c r="J753" s="5">
        <f t="shared" si="11"/>
        <v>52785</v>
      </c>
    </row>
    <row r="754" spans="1:10" x14ac:dyDescent="0.25">
      <c r="A754" s="6">
        <v>762</v>
      </c>
      <c r="B754" t="s">
        <v>2034</v>
      </c>
      <c r="C754" t="s">
        <v>771</v>
      </c>
      <c r="D754" t="s">
        <v>102</v>
      </c>
      <c r="E754" t="str">
        <f>VLOOKUP(D754,'Tên SP'!B$2:C$1070,2,0)</f>
        <v>NƯỚC GIẶT LIX HƯƠNG NƯỚC HOA 3,5KG/T04 TÚI</v>
      </c>
      <c r="F754" s="4">
        <v>94500</v>
      </c>
      <c r="G754">
        <v>1</v>
      </c>
      <c r="H754" s="4">
        <v>94500</v>
      </c>
      <c r="I754" s="4">
        <v>-14175</v>
      </c>
      <c r="J754" s="5">
        <f t="shared" si="11"/>
        <v>80325</v>
      </c>
    </row>
    <row r="755" spans="1:10" x14ac:dyDescent="0.25">
      <c r="A755" s="6">
        <v>763</v>
      </c>
      <c r="B755" t="s">
        <v>2035</v>
      </c>
      <c r="C755" t="s">
        <v>772</v>
      </c>
      <c r="D755" t="s">
        <v>28</v>
      </c>
      <c r="E755" t="str">
        <f>VLOOKUP(D755,'Tên SP'!B$2:C$1070,2,0)</f>
        <v>NƯỚC XẢ VẢI LIXSOFT HƯƠNG HOA HỒNG 3,6L/C04</v>
      </c>
      <c r="F755" s="4">
        <v>80040</v>
      </c>
      <c r="G755">
        <v>1</v>
      </c>
      <c r="H755" s="4">
        <v>80040</v>
      </c>
      <c r="I755" s="4">
        <v>0</v>
      </c>
      <c r="J755" s="5">
        <f t="shared" si="11"/>
        <v>80040</v>
      </c>
    </row>
    <row r="756" spans="1:10" x14ac:dyDescent="0.25">
      <c r="A756" s="6">
        <v>764</v>
      </c>
      <c r="B756" t="s">
        <v>2036</v>
      </c>
      <c r="C756" t="s">
        <v>773</v>
      </c>
      <c r="D756" t="s">
        <v>106</v>
      </c>
      <c r="E756" t="str">
        <f>VLOOKUP(D756,'Tên SP'!B$2:C$1070,2,0)</f>
        <v>NƯỚC GIẶT LIX SIÊU SẠCH HOA ANH ĐÀO 2.4KG/T06</v>
      </c>
      <c r="F756" s="4">
        <v>62100</v>
      </c>
      <c r="G756">
        <v>1</v>
      </c>
      <c r="H756" s="4">
        <v>62100</v>
      </c>
      <c r="I756" s="4">
        <v>-9315</v>
      </c>
      <c r="J756" s="5">
        <f t="shared" si="11"/>
        <v>52785</v>
      </c>
    </row>
    <row r="757" spans="1:10" x14ac:dyDescent="0.25">
      <c r="A757" s="6">
        <v>765</v>
      </c>
      <c r="B757" t="s">
        <v>2037</v>
      </c>
      <c r="C757" t="s">
        <v>774</v>
      </c>
      <c r="D757" t="s">
        <v>47</v>
      </c>
      <c r="E757" t="str">
        <f>VLOOKUP(D757,'Tên SP'!B$2:C$1070,2,0)</f>
        <v>BỘT GIẶT LIXE CHANH 2,4KG/05</v>
      </c>
      <c r="F757" s="4">
        <v>62100</v>
      </c>
      <c r="G757">
        <v>1</v>
      </c>
      <c r="H757" s="4">
        <v>62100</v>
      </c>
      <c r="I757" s="4">
        <v>0</v>
      </c>
      <c r="J757" s="5">
        <f t="shared" si="11"/>
        <v>62100</v>
      </c>
    </row>
    <row r="758" spans="1:10" x14ac:dyDescent="0.25">
      <c r="A758" s="6">
        <v>766</v>
      </c>
      <c r="B758" t="s">
        <v>2038</v>
      </c>
      <c r="C758" t="s">
        <v>775</v>
      </c>
      <c r="D758" t="s">
        <v>23</v>
      </c>
      <c r="E758" t="str">
        <f>VLOOKUP(D758,'Tên SP'!B$2:C$1070,2,0)</f>
        <v>NƯỚC XẢ VẢI LIXSOFT 3,6L/C04</v>
      </c>
      <c r="F758" s="4">
        <v>82800</v>
      </c>
      <c r="G758">
        <v>1</v>
      </c>
      <c r="H758" s="4">
        <v>82800</v>
      </c>
      <c r="I758" s="4">
        <v>0</v>
      </c>
      <c r="J758" s="5">
        <f t="shared" si="11"/>
        <v>82800</v>
      </c>
    </row>
    <row r="759" spans="1:10" x14ac:dyDescent="0.25">
      <c r="A759" s="6">
        <v>767</v>
      </c>
      <c r="B759" t="s">
        <v>2039</v>
      </c>
      <c r="C759" t="s">
        <v>776</v>
      </c>
      <c r="D759" t="s">
        <v>31</v>
      </c>
      <c r="E759" t="str">
        <f>VLOOKUP(D759,'Tên SP'!B$2:C$1070,2,0)</f>
        <v>BỘT GIẶT LIXE 5,5KG/03</v>
      </c>
      <c r="F759" s="4">
        <v>130500</v>
      </c>
      <c r="G759">
        <v>1</v>
      </c>
      <c r="H759" s="4">
        <v>130500</v>
      </c>
      <c r="I759" s="4">
        <v>-10000</v>
      </c>
      <c r="J759" s="5">
        <f t="shared" si="11"/>
        <v>120500</v>
      </c>
    </row>
    <row r="760" spans="1:10" x14ac:dyDescent="0.25">
      <c r="A760" s="6">
        <v>768</v>
      </c>
      <c r="B760" t="s">
        <v>2040</v>
      </c>
      <c r="C760" t="s">
        <v>777</v>
      </c>
      <c r="D760" t="s">
        <v>9</v>
      </c>
      <c r="E760" t="str">
        <f>VLOOKUP(D760,'Tên SP'!B$2:C$1070,2,0)</f>
        <v>NƯỚC GIẶT LIX ĐẬM ĐẶC 3,5KG/T04 TÚI</v>
      </c>
      <c r="F760" s="4">
        <v>94500</v>
      </c>
      <c r="G760">
        <v>1</v>
      </c>
      <c r="H760" s="4">
        <v>94500</v>
      </c>
      <c r="I760" s="4">
        <v>0</v>
      </c>
      <c r="J760" s="5">
        <f t="shared" si="11"/>
        <v>94500</v>
      </c>
    </row>
    <row r="761" spans="1:10" x14ac:dyDescent="0.25">
      <c r="A761" s="6">
        <v>769</v>
      </c>
      <c r="B761" t="s">
        <v>2041</v>
      </c>
      <c r="C761" t="s">
        <v>778</v>
      </c>
      <c r="D761" t="s">
        <v>71</v>
      </c>
      <c r="E761" t="str">
        <f>VLOOKUP(D761,'Tên SP'!B$2:C$1070,2,0)</f>
        <v>NƯỚC RỬA CHÉN SIÊU SẠCH CHANH 3,5KG/T04- TÚI</v>
      </c>
      <c r="F761" s="4">
        <v>67500</v>
      </c>
      <c r="G761">
        <v>1</v>
      </c>
      <c r="H761" s="4">
        <v>67500</v>
      </c>
      <c r="I761" s="4">
        <v>-10000</v>
      </c>
      <c r="J761" s="5">
        <f t="shared" si="11"/>
        <v>57500</v>
      </c>
    </row>
    <row r="762" spans="1:10" x14ac:dyDescent="0.25">
      <c r="A762" s="6">
        <v>770</v>
      </c>
      <c r="B762" t="s">
        <v>2042</v>
      </c>
      <c r="C762" t="s">
        <v>779</v>
      </c>
      <c r="D762" t="s">
        <v>102</v>
      </c>
      <c r="E762" t="str">
        <f>VLOOKUP(D762,'Tên SP'!B$2:C$1070,2,0)</f>
        <v>NƯỚC GIẶT LIX HƯƠNG NƯỚC HOA 3,5KG/T04 TÚI</v>
      </c>
      <c r="F762" s="4">
        <v>94500</v>
      </c>
      <c r="G762">
        <v>1</v>
      </c>
      <c r="H762" s="4">
        <v>94500</v>
      </c>
      <c r="I762" s="4">
        <v>0</v>
      </c>
      <c r="J762" s="5">
        <f t="shared" ref="J762:J825" si="12">H762+I762</f>
        <v>94500</v>
      </c>
    </row>
    <row r="763" spans="1:10" x14ac:dyDescent="0.25">
      <c r="A763" s="6">
        <v>771</v>
      </c>
      <c r="B763" t="s">
        <v>2043</v>
      </c>
      <c r="C763" t="s">
        <v>780</v>
      </c>
      <c r="D763" t="s">
        <v>36</v>
      </c>
      <c r="E763" t="str">
        <f>VLOOKUP(D763,'Tên SP'!B$2:C$1070,2,0)</f>
        <v>BỘT GIẶT LIXE HƯƠNG NƯỚC HOA 7KG/02</v>
      </c>
      <c r="F763" s="4">
        <v>161100</v>
      </c>
      <c r="G763">
        <v>1</v>
      </c>
      <c r="H763" s="4">
        <v>161100</v>
      </c>
      <c r="I763" s="4">
        <v>-10000</v>
      </c>
      <c r="J763" s="5">
        <f t="shared" si="12"/>
        <v>151100</v>
      </c>
    </row>
    <row r="764" spans="1:10" x14ac:dyDescent="0.25">
      <c r="A764" s="6">
        <v>772</v>
      </c>
      <c r="B764" t="s">
        <v>2044</v>
      </c>
      <c r="C764" t="s">
        <v>781</v>
      </c>
      <c r="D764" t="s">
        <v>102</v>
      </c>
      <c r="E764" t="str">
        <f>VLOOKUP(D764,'Tên SP'!B$2:C$1070,2,0)</f>
        <v>NƯỚC GIẶT LIX HƯƠNG NƯỚC HOA 3,5KG/T04 TÚI</v>
      </c>
      <c r="F764" s="4">
        <v>94500</v>
      </c>
      <c r="G764">
        <v>1</v>
      </c>
      <c r="H764" s="4">
        <v>94500</v>
      </c>
      <c r="I764" s="4">
        <v>-10000</v>
      </c>
      <c r="J764" s="5">
        <f t="shared" si="12"/>
        <v>84500</v>
      </c>
    </row>
    <row r="765" spans="1:10" x14ac:dyDescent="0.25">
      <c r="A765" s="6">
        <v>773</v>
      </c>
      <c r="B765" t="s">
        <v>2045</v>
      </c>
      <c r="C765" t="s">
        <v>782</v>
      </c>
      <c r="D765" t="s">
        <v>158</v>
      </c>
      <c r="E765" t="str">
        <f>VLOOKUP(D765,'Tên SP'!B$2:C$1070,2,0)</f>
        <v>NƯỚC GIẶT XẢ ON1 BAMBOO CHARCOAL 3,5KG/T04 (TÚI)</v>
      </c>
      <c r="F765" s="4">
        <v>135000</v>
      </c>
      <c r="G765">
        <v>1</v>
      </c>
      <c r="H765" s="4">
        <v>135000</v>
      </c>
      <c r="I765" s="4">
        <v>-10000</v>
      </c>
      <c r="J765" s="5">
        <f t="shared" si="12"/>
        <v>125000</v>
      </c>
    </row>
    <row r="766" spans="1:10" x14ac:dyDescent="0.25">
      <c r="A766" s="6">
        <v>774</v>
      </c>
      <c r="B766" t="s">
        <v>2046</v>
      </c>
      <c r="C766" t="s">
        <v>783</v>
      </c>
      <c r="D766" t="s">
        <v>100</v>
      </c>
      <c r="E766" t="str">
        <f>VLOOKUP(D766,'Tên SP'!B$2:C$1070,2,0)</f>
        <v>NƯỚC GIẶT LIX HƯƠNG NƯỚC HOA 3,6KG/C04</v>
      </c>
      <c r="F766" s="4">
        <v>108000</v>
      </c>
      <c r="G766">
        <v>1</v>
      </c>
      <c r="H766" s="4">
        <v>108000</v>
      </c>
      <c r="I766" s="4">
        <v>-10000</v>
      </c>
      <c r="J766" s="5">
        <f t="shared" si="12"/>
        <v>98000</v>
      </c>
    </row>
    <row r="767" spans="1:10" x14ac:dyDescent="0.25">
      <c r="A767" s="6">
        <v>775</v>
      </c>
      <c r="B767" t="s">
        <v>2047</v>
      </c>
      <c r="C767" t="s">
        <v>784</v>
      </c>
      <c r="D767" t="s">
        <v>9</v>
      </c>
      <c r="E767" t="str">
        <f>VLOOKUP(D767,'Tên SP'!B$2:C$1070,2,0)</f>
        <v>NƯỚC GIẶT LIX ĐẬM ĐẶC 3,5KG/T04 TÚI</v>
      </c>
      <c r="F767" s="4">
        <v>88000</v>
      </c>
      <c r="G767">
        <v>1</v>
      </c>
      <c r="H767" s="4">
        <v>88000</v>
      </c>
      <c r="I767" s="4">
        <v>-13200</v>
      </c>
      <c r="J767" s="5">
        <f t="shared" si="12"/>
        <v>74800</v>
      </c>
    </row>
    <row r="768" spans="1:10" x14ac:dyDescent="0.25">
      <c r="A768" s="6">
        <v>776</v>
      </c>
      <c r="B768" t="s">
        <v>2048</v>
      </c>
      <c r="C768" t="s">
        <v>785</v>
      </c>
      <c r="D768" t="s">
        <v>9</v>
      </c>
      <c r="E768" t="str">
        <f>VLOOKUP(D768,'Tên SP'!B$2:C$1070,2,0)</f>
        <v>NƯỚC GIẶT LIX ĐẬM ĐẶC 3,5KG/T04 TÚI</v>
      </c>
      <c r="F768" s="4">
        <v>88000</v>
      </c>
      <c r="G768">
        <v>1</v>
      </c>
      <c r="H768" s="4">
        <v>88000</v>
      </c>
      <c r="I768" s="4">
        <v>0</v>
      </c>
      <c r="J768" s="5">
        <f t="shared" si="12"/>
        <v>88000</v>
      </c>
    </row>
    <row r="769" spans="1:10" x14ac:dyDescent="0.25">
      <c r="A769" s="6">
        <v>777</v>
      </c>
      <c r="B769" t="s">
        <v>2049</v>
      </c>
      <c r="C769" t="s">
        <v>786</v>
      </c>
      <c r="D769" t="s">
        <v>9</v>
      </c>
      <c r="E769" t="str">
        <f>VLOOKUP(D769,'Tên SP'!B$2:C$1070,2,0)</f>
        <v>NƯỚC GIẶT LIX ĐẬM ĐẶC 3,5KG/T04 TÚI</v>
      </c>
      <c r="F769" s="4">
        <v>88000</v>
      </c>
      <c r="G769">
        <v>1</v>
      </c>
      <c r="H769" s="4">
        <v>88000</v>
      </c>
      <c r="I769" s="4">
        <v>0</v>
      </c>
      <c r="J769" s="5">
        <f t="shared" si="12"/>
        <v>88000</v>
      </c>
    </row>
    <row r="770" spans="1:10" x14ac:dyDescent="0.25">
      <c r="A770" s="6">
        <v>778</v>
      </c>
      <c r="B770" t="s">
        <v>2050</v>
      </c>
      <c r="C770" t="s">
        <v>787</v>
      </c>
      <c r="D770" t="s">
        <v>106</v>
      </c>
      <c r="E770" t="str">
        <f>VLOOKUP(D770,'Tên SP'!B$2:C$1070,2,0)</f>
        <v>NƯỚC GIẶT LIX SIÊU SẠCH HOA ANH ĐÀO 2.4KG/T06</v>
      </c>
      <c r="F770" s="4">
        <v>62100</v>
      </c>
      <c r="G770">
        <v>1</v>
      </c>
      <c r="H770" s="4">
        <v>62100</v>
      </c>
      <c r="I770" s="4">
        <v>-9315</v>
      </c>
      <c r="J770" s="5">
        <f t="shared" si="12"/>
        <v>52785</v>
      </c>
    </row>
    <row r="771" spans="1:10" x14ac:dyDescent="0.25">
      <c r="A771" s="6">
        <v>779</v>
      </c>
      <c r="B771" t="s">
        <v>2051</v>
      </c>
      <c r="C771" t="s">
        <v>788</v>
      </c>
      <c r="D771" t="s">
        <v>9</v>
      </c>
      <c r="E771" t="str">
        <f>VLOOKUP(D771,'Tên SP'!B$2:C$1070,2,0)</f>
        <v>NƯỚC GIẶT LIX ĐẬM ĐẶC 3,5KG/T04 TÚI</v>
      </c>
      <c r="F771" s="4">
        <v>88000</v>
      </c>
      <c r="G771">
        <v>1</v>
      </c>
      <c r="H771" s="4">
        <v>88000</v>
      </c>
      <c r="I771" s="4">
        <v>0</v>
      </c>
      <c r="J771" s="5">
        <f t="shared" si="12"/>
        <v>88000</v>
      </c>
    </row>
    <row r="772" spans="1:10" x14ac:dyDescent="0.25">
      <c r="A772" s="6">
        <v>780</v>
      </c>
      <c r="B772" t="s">
        <v>2052</v>
      </c>
      <c r="C772" t="s">
        <v>789</v>
      </c>
      <c r="D772" t="s">
        <v>9</v>
      </c>
      <c r="E772" t="str">
        <f>VLOOKUP(D772,'Tên SP'!B$2:C$1070,2,0)</f>
        <v>NƯỚC GIẶT LIX ĐẬM ĐẶC 3,5KG/T04 TÚI</v>
      </c>
      <c r="F772" s="4">
        <v>88000</v>
      </c>
      <c r="G772">
        <v>1</v>
      </c>
      <c r="H772" s="4">
        <v>88000</v>
      </c>
      <c r="I772" s="4">
        <v>0</v>
      </c>
      <c r="J772" s="5">
        <f t="shared" si="12"/>
        <v>88000</v>
      </c>
    </row>
    <row r="773" spans="1:10" x14ac:dyDescent="0.25">
      <c r="A773" s="6">
        <v>781</v>
      </c>
      <c r="B773" t="s">
        <v>2053</v>
      </c>
      <c r="C773" t="s">
        <v>790</v>
      </c>
      <c r="D773" t="s">
        <v>2743</v>
      </c>
      <c r="E773" t="str">
        <f>VLOOKUP(D773,'Tên SP'!B$2:C$1070,2,0)</f>
        <v>BỘT GIẶT LIXE 2,4KG/06</v>
      </c>
      <c r="F773" s="4">
        <v>61800</v>
      </c>
      <c r="G773">
        <v>1</v>
      </c>
      <c r="H773" s="4">
        <v>61800</v>
      </c>
      <c r="I773" s="4">
        <v>0</v>
      </c>
      <c r="J773" s="5">
        <f t="shared" si="12"/>
        <v>61800</v>
      </c>
    </row>
    <row r="774" spans="1:10" x14ac:dyDescent="0.25">
      <c r="A774" s="6">
        <v>782</v>
      </c>
      <c r="B774" t="s">
        <v>2054</v>
      </c>
      <c r="C774" t="s">
        <v>791</v>
      </c>
      <c r="D774" t="s">
        <v>42</v>
      </c>
      <c r="E774" t="str">
        <f>VLOOKUP(D774,'Tên SP'!B$2:C$1070,2,0)</f>
        <v>BỘT GIẶT LIXE HƯƠNG NƯỚC HOA 2,4KG/05</v>
      </c>
      <c r="F774" s="4">
        <v>61200</v>
      </c>
      <c r="G774">
        <v>1</v>
      </c>
      <c r="H774" s="4">
        <v>61200</v>
      </c>
      <c r="I774" s="4">
        <v>0</v>
      </c>
      <c r="J774" s="5">
        <f t="shared" si="12"/>
        <v>61200</v>
      </c>
    </row>
    <row r="775" spans="1:10" x14ac:dyDescent="0.25">
      <c r="A775" s="6">
        <v>783</v>
      </c>
      <c r="B775" t="s">
        <v>2055</v>
      </c>
      <c r="C775" t="s">
        <v>792</v>
      </c>
      <c r="D775" t="s">
        <v>102</v>
      </c>
      <c r="E775" t="str">
        <f>VLOOKUP(D775,'Tên SP'!B$2:C$1070,2,0)</f>
        <v>NƯỚC GIẶT LIX HƯƠNG NƯỚC HOA 3,5KG/T04 TÚI</v>
      </c>
      <c r="F775" s="4">
        <v>94500</v>
      </c>
      <c r="G775">
        <v>1</v>
      </c>
      <c r="H775" s="4">
        <v>94500</v>
      </c>
      <c r="I775" s="4">
        <v>0</v>
      </c>
      <c r="J775" s="5">
        <f t="shared" si="12"/>
        <v>94500</v>
      </c>
    </row>
    <row r="776" spans="1:10" x14ac:dyDescent="0.25">
      <c r="A776" s="6">
        <v>784</v>
      </c>
      <c r="B776" t="s">
        <v>2055</v>
      </c>
      <c r="C776" t="s">
        <v>792</v>
      </c>
      <c r="D776" t="s">
        <v>9</v>
      </c>
      <c r="E776" t="str">
        <f>VLOOKUP(D776,'Tên SP'!B$2:C$1070,2,0)</f>
        <v>NƯỚC GIẶT LIX ĐẬM ĐẶC 3,5KG/T04 TÚI</v>
      </c>
      <c r="F776" s="4">
        <v>88000</v>
      </c>
      <c r="G776">
        <v>1</v>
      </c>
      <c r="H776" s="4">
        <v>88000</v>
      </c>
      <c r="I776" s="4">
        <v>0</v>
      </c>
      <c r="J776" s="5">
        <f t="shared" si="12"/>
        <v>88000</v>
      </c>
    </row>
    <row r="777" spans="1:10" x14ac:dyDescent="0.25">
      <c r="A777" s="6">
        <v>785</v>
      </c>
      <c r="B777" t="s">
        <v>2056</v>
      </c>
      <c r="C777" t="s">
        <v>793</v>
      </c>
      <c r="D777" t="s">
        <v>9</v>
      </c>
      <c r="E777" t="str">
        <f>VLOOKUP(D777,'Tên SP'!B$2:C$1070,2,0)</f>
        <v>NƯỚC GIẶT LIX ĐẬM ĐẶC 3,5KG/T04 TÚI</v>
      </c>
      <c r="F777" s="4">
        <v>88000</v>
      </c>
      <c r="G777">
        <v>1</v>
      </c>
      <c r="H777" s="4">
        <v>88000</v>
      </c>
      <c r="I777" s="4">
        <v>0</v>
      </c>
      <c r="J777" s="5">
        <f t="shared" si="12"/>
        <v>88000</v>
      </c>
    </row>
    <row r="778" spans="1:10" x14ac:dyDescent="0.25">
      <c r="A778" s="6">
        <v>786</v>
      </c>
      <c r="B778" t="s">
        <v>2057</v>
      </c>
      <c r="C778" t="s">
        <v>794</v>
      </c>
      <c r="D778" t="s">
        <v>94</v>
      </c>
      <c r="E778" t="str">
        <f>VLOOKUP(D778,'Tên SP'!B$2:C$1070,2,0)</f>
        <v>NƯỚC LAU SÀN ĐUỔI CÔN TRÙNG LIX 2L/C08</v>
      </c>
      <c r="F778" s="4">
        <v>49200</v>
      </c>
      <c r="G778">
        <v>1</v>
      </c>
      <c r="H778" s="4">
        <v>49200</v>
      </c>
      <c r="I778" s="4">
        <v>0</v>
      </c>
      <c r="J778" s="5">
        <f t="shared" si="12"/>
        <v>49200</v>
      </c>
    </row>
    <row r="779" spans="1:10" x14ac:dyDescent="0.25">
      <c r="A779" s="6">
        <v>787</v>
      </c>
      <c r="B779" t="s">
        <v>2058</v>
      </c>
      <c r="C779" t="s">
        <v>795</v>
      </c>
      <c r="D779" t="s">
        <v>9</v>
      </c>
      <c r="E779" t="str">
        <f>VLOOKUP(D779,'Tên SP'!B$2:C$1070,2,0)</f>
        <v>NƯỚC GIẶT LIX ĐẬM ĐẶC 3,5KG/T04 TÚI</v>
      </c>
      <c r="F779" s="4">
        <v>88000</v>
      </c>
      <c r="G779">
        <v>1</v>
      </c>
      <c r="H779" s="4">
        <v>88000</v>
      </c>
      <c r="I779" s="4">
        <v>0</v>
      </c>
      <c r="J779" s="5">
        <f t="shared" si="12"/>
        <v>88000</v>
      </c>
    </row>
    <row r="780" spans="1:10" x14ac:dyDescent="0.25">
      <c r="A780" s="6">
        <v>788</v>
      </c>
      <c r="B780" t="s">
        <v>2059</v>
      </c>
      <c r="C780" t="s">
        <v>796</v>
      </c>
      <c r="D780" t="s">
        <v>9</v>
      </c>
      <c r="E780" t="str">
        <f>VLOOKUP(D780,'Tên SP'!B$2:C$1070,2,0)</f>
        <v>NƯỚC GIẶT LIX ĐẬM ĐẶC 3,5KG/T04 TÚI</v>
      </c>
      <c r="F780" s="4">
        <v>88000</v>
      </c>
      <c r="G780">
        <v>1</v>
      </c>
      <c r="H780" s="4">
        <v>88000</v>
      </c>
      <c r="I780" s="4">
        <v>-10000</v>
      </c>
      <c r="J780" s="5">
        <f t="shared" si="12"/>
        <v>78000</v>
      </c>
    </row>
    <row r="781" spans="1:10" x14ac:dyDescent="0.25">
      <c r="A781" s="6">
        <v>789</v>
      </c>
      <c r="B781" t="s">
        <v>2060</v>
      </c>
      <c r="C781" t="s">
        <v>797</v>
      </c>
      <c r="D781" t="s">
        <v>9</v>
      </c>
      <c r="E781" t="str">
        <f>VLOOKUP(D781,'Tên SP'!B$2:C$1070,2,0)</f>
        <v>NƯỚC GIẶT LIX ĐẬM ĐẶC 3,5KG/T04 TÚI</v>
      </c>
      <c r="F781" s="4">
        <v>88000</v>
      </c>
      <c r="G781">
        <v>1</v>
      </c>
      <c r="H781" s="4">
        <v>88000</v>
      </c>
      <c r="I781" s="4">
        <v>0</v>
      </c>
      <c r="J781" s="5">
        <f t="shared" si="12"/>
        <v>88000</v>
      </c>
    </row>
    <row r="782" spans="1:10" x14ac:dyDescent="0.25">
      <c r="A782" s="6">
        <v>790</v>
      </c>
      <c r="B782" t="s">
        <v>2061</v>
      </c>
      <c r="C782" t="s">
        <v>798</v>
      </c>
      <c r="D782" t="s">
        <v>9</v>
      </c>
      <c r="E782" t="str">
        <f>VLOOKUP(D782,'Tên SP'!B$2:C$1070,2,0)</f>
        <v>NƯỚC GIẶT LIX ĐẬM ĐẶC 3,5KG/T04 TÚI</v>
      </c>
      <c r="F782" s="4">
        <v>88000</v>
      </c>
      <c r="G782">
        <v>1</v>
      </c>
      <c r="H782" s="4">
        <v>88000</v>
      </c>
      <c r="I782" s="4">
        <v>-8000</v>
      </c>
      <c r="J782" s="5">
        <f t="shared" si="12"/>
        <v>80000</v>
      </c>
    </row>
    <row r="783" spans="1:10" x14ac:dyDescent="0.25">
      <c r="A783" s="6">
        <v>791</v>
      </c>
      <c r="B783" t="s">
        <v>2061</v>
      </c>
      <c r="C783" t="s">
        <v>798</v>
      </c>
      <c r="D783" t="s">
        <v>9</v>
      </c>
      <c r="E783" t="str">
        <f>VLOOKUP(D783,'Tên SP'!B$2:C$1070,2,0)</f>
        <v>NƯỚC GIẶT LIX ĐẬM ĐẶC 3,5KG/T04 TÚI</v>
      </c>
      <c r="F783" s="4">
        <v>88000</v>
      </c>
      <c r="G783">
        <v>1</v>
      </c>
      <c r="H783" s="4">
        <v>88000</v>
      </c>
      <c r="I783" s="4">
        <v>-8000</v>
      </c>
      <c r="J783" s="5">
        <f t="shared" si="12"/>
        <v>80000</v>
      </c>
    </row>
    <row r="784" spans="1:10" x14ac:dyDescent="0.25">
      <c r="A784" s="6">
        <v>792</v>
      </c>
      <c r="B784" t="s">
        <v>2061</v>
      </c>
      <c r="C784" t="s">
        <v>798</v>
      </c>
      <c r="D784" t="s">
        <v>9</v>
      </c>
      <c r="E784" t="str">
        <f>VLOOKUP(D784,'Tên SP'!B$2:C$1070,2,0)</f>
        <v>NƯỚC GIẶT LIX ĐẬM ĐẶC 3,5KG/T04 TÚI</v>
      </c>
      <c r="F784" s="4">
        <v>88000</v>
      </c>
      <c r="G784">
        <v>1</v>
      </c>
      <c r="H784" s="4">
        <v>88000</v>
      </c>
      <c r="I784" s="4">
        <v>-8000</v>
      </c>
      <c r="J784" s="5">
        <f t="shared" si="12"/>
        <v>80000</v>
      </c>
    </row>
    <row r="785" spans="1:10" x14ac:dyDescent="0.25">
      <c r="A785" s="6">
        <v>793</v>
      </c>
      <c r="B785" t="s">
        <v>2061</v>
      </c>
      <c r="C785" t="s">
        <v>798</v>
      </c>
      <c r="D785" t="s">
        <v>9</v>
      </c>
      <c r="E785" t="str">
        <f>VLOOKUP(D785,'Tên SP'!B$2:C$1070,2,0)</f>
        <v>NƯỚC GIẶT LIX ĐẬM ĐẶC 3,5KG/T04 TÚI</v>
      </c>
      <c r="F785" s="4">
        <v>88000</v>
      </c>
      <c r="G785">
        <v>1</v>
      </c>
      <c r="H785" s="4">
        <v>88000</v>
      </c>
      <c r="I785" s="4">
        <v>-8000</v>
      </c>
      <c r="J785" s="5">
        <f t="shared" si="12"/>
        <v>80000</v>
      </c>
    </row>
    <row r="786" spans="1:10" x14ac:dyDescent="0.25">
      <c r="A786" s="6">
        <v>794</v>
      </c>
      <c r="B786" t="s">
        <v>2061</v>
      </c>
      <c r="C786" t="s">
        <v>798</v>
      </c>
      <c r="D786" t="s">
        <v>9</v>
      </c>
      <c r="E786" t="str">
        <f>VLOOKUP(D786,'Tên SP'!B$2:C$1070,2,0)</f>
        <v>NƯỚC GIẶT LIX ĐẬM ĐẶC 3,5KG/T04 TÚI</v>
      </c>
      <c r="F786" s="4">
        <v>88000</v>
      </c>
      <c r="G786">
        <v>1</v>
      </c>
      <c r="H786" s="4">
        <v>88000</v>
      </c>
      <c r="I786" s="4">
        <v>-8000</v>
      </c>
      <c r="J786" s="5">
        <f t="shared" si="12"/>
        <v>80000</v>
      </c>
    </row>
    <row r="787" spans="1:10" x14ac:dyDescent="0.25">
      <c r="A787" s="6">
        <v>795</v>
      </c>
      <c r="B787" t="s">
        <v>2062</v>
      </c>
      <c r="C787" t="s">
        <v>799</v>
      </c>
      <c r="D787" t="s">
        <v>77</v>
      </c>
      <c r="E787" t="str">
        <f>VLOOKUP(D787,'Tên SP'!B$2:C$1070,2,0)</f>
        <v>NƯỚC RỬA CHÉN SIÊU SẠCH CHANH 1,4KG/C08</v>
      </c>
      <c r="F787" s="4">
        <v>39600</v>
      </c>
      <c r="G787">
        <v>1</v>
      </c>
      <c r="H787" s="4">
        <v>39600</v>
      </c>
      <c r="I787" s="4">
        <v>0</v>
      </c>
      <c r="J787" s="5">
        <f t="shared" si="12"/>
        <v>39600</v>
      </c>
    </row>
    <row r="788" spans="1:10" x14ac:dyDescent="0.25">
      <c r="A788" s="6">
        <v>796</v>
      </c>
      <c r="B788" t="s">
        <v>2062</v>
      </c>
      <c r="C788" t="s">
        <v>799</v>
      </c>
      <c r="D788" t="s">
        <v>100</v>
      </c>
      <c r="E788" t="str">
        <f>VLOOKUP(D788,'Tên SP'!B$2:C$1070,2,0)</f>
        <v>NƯỚC GIẶT LIX HƯƠNG NƯỚC HOA 3,6KG/C04</v>
      </c>
      <c r="F788" s="4">
        <v>105600</v>
      </c>
      <c r="G788">
        <v>1</v>
      </c>
      <c r="H788" s="4">
        <v>105600</v>
      </c>
      <c r="I788" s="4">
        <v>0</v>
      </c>
      <c r="J788" s="5">
        <f t="shared" si="12"/>
        <v>105600</v>
      </c>
    </row>
    <row r="789" spans="1:10" x14ac:dyDescent="0.25">
      <c r="A789" s="6">
        <v>797</v>
      </c>
      <c r="B789" t="s">
        <v>2063</v>
      </c>
      <c r="C789" t="s">
        <v>800</v>
      </c>
      <c r="D789" t="s">
        <v>83</v>
      </c>
      <c r="E789" t="str">
        <f>VLOOKUP(D789,'Tên SP'!B$2:C$1070,2,0)</f>
        <v>NƯỚC RỬA CHÉN SIÊU SẠCH TRÀ 1,5KG/T08- TÚI</v>
      </c>
      <c r="F789" s="4">
        <v>34400</v>
      </c>
      <c r="G789">
        <v>1</v>
      </c>
      <c r="H789" s="4">
        <v>34400</v>
      </c>
      <c r="I789" s="4">
        <v>0</v>
      </c>
      <c r="J789" s="5">
        <f t="shared" si="12"/>
        <v>34400</v>
      </c>
    </row>
    <row r="790" spans="1:10" x14ac:dyDescent="0.25">
      <c r="A790" s="6">
        <v>798</v>
      </c>
      <c r="B790" t="s">
        <v>2064</v>
      </c>
      <c r="C790" t="s">
        <v>801</v>
      </c>
      <c r="D790" t="s">
        <v>73</v>
      </c>
      <c r="E790" t="str">
        <f>VLOOKUP(D790,'Tên SP'!B$2:C$1070,2,0)</f>
        <v>NƯỚC RỬA CHÉN SIÊU SẠCH CHANH 1,5KG/T08- TÚI</v>
      </c>
      <c r="F790" s="4">
        <v>39600</v>
      </c>
      <c r="G790">
        <v>1</v>
      </c>
      <c r="H790" s="4">
        <v>39600</v>
      </c>
      <c r="I790" s="4">
        <v>-2496</v>
      </c>
      <c r="J790" s="5">
        <f t="shared" si="12"/>
        <v>37104</v>
      </c>
    </row>
    <row r="791" spans="1:10" x14ac:dyDescent="0.25">
      <c r="A791" s="6">
        <v>799</v>
      </c>
      <c r="B791" t="s">
        <v>2064</v>
      </c>
      <c r="C791" t="s">
        <v>801</v>
      </c>
      <c r="D791" t="s">
        <v>81</v>
      </c>
      <c r="E791" t="str">
        <f>VLOOKUP(D791,'Tên SP'!B$2:C$1070,2,0)</f>
        <v>NƯỚC RỬA CHÉN SIÊU SẠCH TRÀ 3,5KG/T04- TÚI</v>
      </c>
      <c r="F791" s="4">
        <v>72000</v>
      </c>
      <c r="G791">
        <v>1</v>
      </c>
      <c r="H791" s="4">
        <v>72000</v>
      </c>
      <c r="I791" s="4">
        <v>-4537</v>
      </c>
      <c r="J791" s="5">
        <f t="shared" si="12"/>
        <v>67463</v>
      </c>
    </row>
    <row r="792" spans="1:10" x14ac:dyDescent="0.25">
      <c r="A792" s="6">
        <v>800</v>
      </c>
      <c r="B792" t="s">
        <v>2064</v>
      </c>
      <c r="C792" t="s">
        <v>801</v>
      </c>
      <c r="D792" t="s">
        <v>9</v>
      </c>
      <c r="E792" t="str">
        <f>VLOOKUP(D792,'Tên SP'!B$2:C$1070,2,0)</f>
        <v>NƯỚC GIẶT LIX ĐẬM ĐẶC 3,5KG/T04 TÚI</v>
      </c>
      <c r="F792" s="4">
        <v>88000</v>
      </c>
      <c r="G792">
        <v>1</v>
      </c>
      <c r="H792" s="4">
        <v>88000</v>
      </c>
      <c r="I792" s="4">
        <v>-5546</v>
      </c>
      <c r="J792" s="5">
        <f t="shared" si="12"/>
        <v>82454</v>
      </c>
    </row>
    <row r="793" spans="1:10" x14ac:dyDescent="0.25">
      <c r="A793" s="6">
        <v>801</v>
      </c>
      <c r="B793" t="s">
        <v>2064</v>
      </c>
      <c r="C793" t="s">
        <v>801</v>
      </c>
      <c r="D793" t="s">
        <v>152</v>
      </c>
      <c r="E793" t="str">
        <f>VLOOKUP(D793,'Tên SP'!B$2:C$1070,2,0)</f>
        <v>NƯỚC GIẶT ON1 CHỐNG LEM MÀU FRESH SAKURA 3,5KG/T04 (TÚI)</v>
      </c>
      <c r="F793" s="4">
        <v>130500</v>
      </c>
      <c r="G793">
        <v>1</v>
      </c>
      <c r="H793" s="4">
        <v>130500</v>
      </c>
      <c r="I793" s="4">
        <v>-8224</v>
      </c>
      <c r="J793" s="5">
        <f t="shared" si="12"/>
        <v>122276</v>
      </c>
    </row>
    <row r="794" spans="1:10" x14ac:dyDescent="0.25">
      <c r="A794" s="6">
        <v>802</v>
      </c>
      <c r="B794" t="s">
        <v>2064</v>
      </c>
      <c r="C794" t="s">
        <v>801</v>
      </c>
      <c r="D794" t="s">
        <v>174</v>
      </c>
      <c r="E794" t="str">
        <f>VLOOKUP(D794,'Tên SP'!B$2:C$1070,2,0)</f>
        <v>NƯỚC LAU SÀN ON1 TINH DẦU ĐINH HƯƠNG &amp; HOẮC HƯƠNG 3,6L/C04</v>
      </c>
      <c r="F794" s="4">
        <v>120100</v>
      </c>
      <c r="G794">
        <v>1</v>
      </c>
      <c r="H794" s="4">
        <v>120100</v>
      </c>
      <c r="I794" s="4">
        <v>-13573</v>
      </c>
      <c r="J794" s="5">
        <f t="shared" si="12"/>
        <v>106527</v>
      </c>
    </row>
    <row r="795" spans="1:10" x14ac:dyDescent="0.25">
      <c r="A795" s="6">
        <v>803</v>
      </c>
      <c r="B795" t="s">
        <v>2064</v>
      </c>
      <c r="C795" t="s">
        <v>801</v>
      </c>
      <c r="D795" t="s">
        <v>204</v>
      </c>
      <c r="E795" t="str">
        <f>VLOOKUP(D795,'Tên SP'!B$2:C$1070,2,0)</f>
        <v>TINH DẦU ON1 CAM SẢ 100ML/CH12</v>
      </c>
      <c r="F795" s="4">
        <v>71000</v>
      </c>
      <c r="G795">
        <v>1</v>
      </c>
      <c r="H795" s="4">
        <v>71000</v>
      </c>
      <c r="I795" s="4">
        <v>-8024</v>
      </c>
      <c r="J795" s="5">
        <f t="shared" si="12"/>
        <v>62976</v>
      </c>
    </row>
    <row r="796" spans="1:10" x14ac:dyDescent="0.25">
      <c r="A796" s="6">
        <v>804</v>
      </c>
      <c r="B796" t="s">
        <v>2064</v>
      </c>
      <c r="C796" t="s">
        <v>801</v>
      </c>
      <c r="D796" t="s">
        <v>93</v>
      </c>
      <c r="E796" t="str">
        <f>VLOOKUP(D796,'Tên SP'!B$2:C$1070,2,0)</f>
        <v>NƯỚC LAU SÀN ĐUỔI CÔN TRÙNG LIX 3.6L/C04</v>
      </c>
      <c r="F796" s="4">
        <v>73950</v>
      </c>
      <c r="G796">
        <v>1</v>
      </c>
      <c r="H796" s="4">
        <v>73950</v>
      </c>
      <c r="I796" s="4">
        <v>-4660</v>
      </c>
      <c r="J796" s="5">
        <f t="shared" si="12"/>
        <v>69290</v>
      </c>
    </row>
    <row r="797" spans="1:10" x14ac:dyDescent="0.25">
      <c r="A797" s="6">
        <v>805</v>
      </c>
      <c r="B797" t="s">
        <v>2064</v>
      </c>
      <c r="C797" t="s">
        <v>801</v>
      </c>
      <c r="D797" t="s">
        <v>87</v>
      </c>
      <c r="E797" t="str">
        <f>VLOOKUP(D797,'Tên SP'!B$2:C$1070,2,0)</f>
        <v>NƯỚC RỬA CHÉN SIÊU SẠCH TRÀ 1,4KG/C04</v>
      </c>
      <c r="F797" s="4">
        <v>39600</v>
      </c>
      <c r="G797">
        <v>1</v>
      </c>
      <c r="H797" s="4">
        <v>39600</v>
      </c>
      <c r="I797" s="4">
        <v>-2495</v>
      </c>
      <c r="J797" s="5">
        <f t="shared" si="12"/>
        <v>37105</v>
      </c>
    </row>
    <row r="798" spans="1:10" x14ac:dyDescent="0.25">
      <c r="A798" s="6">
        <v>806</v>
      </c>
      <c r="B798" t="s">
        <v>2064</v>
      </c>
      <c r="C798" t="s">
        <v>801</v>
      </c>
      <c r="D798" t="s">
        <v>184</v>
      </c>
      <c r="E798" t="str">
        <f>VLOOKUP(D798,'Tên SP'!B$2:C$1070,2,0)</f>
        <v>GEL DIỆT KHUẨN TAY ON1 60ML/CH80</v>
      </c>
      <c r="F798" s="4">
        <v>22000</v>
      </c>
      <c r="G798">
        <v>1</v>
      </c>
      <c r="H798" s="4">
        <v>22000</v>
      </c>
      <c r="I798" s="4">
        <v>-22000</v>
      </c>
      <c r="J798" s="5">
        <f t="shared" si="12"/>
        <v>0</v>
      </c>
    </row>
    <row r="799" spans="1:10" x14ac:dyDescent="0.25">
      <c r="A799" s="6">
        <v>807</v>
      </c>
      <c r="B799" t="s">
        <v>2065</v>
      </c>
      <c r="C799" t="s">
        <v>802</v>
      </c>
      <c r="D799" t="s">
        <v>206</v>
      </c>
      <c r="E799" t="str">
        <f>VLOOKUP(D799,'Tên SP'!B$2:C$1070,2,0)</f>
        <v>NƯỚC GIẶT LIX MATIC HƯƠNG NƯỚC HOA 3,6KG/C04</v>
      </c>
      <c r="F799" s="4">
        <v>121800</v>
      </c>
      <c r="G799">
        <v>1</v>
      </c>
      <c r="H799" s="4">
        <v>121800</v>
      </c>
      <c r="I799" s="4">
        <v>-88000</v>
      </c>
      <c r="J799" s="5">
        <f t="shared" si="12"/>
        <v>33800</v>
      </c>
    </row>
    <row r="800" spans="1:10" x14ac:dyDescent="0.25">
      <c r="A800" s="6">
        <v>808</v>
      </c>
      <c r="B800" t="s">
        <v>2066</v>
      </c>
      <c r="C800" t="s">
        <v>803</v>
      </c>
      <c r="D800" t="s">
        <v>28</v>
      </c>
      <c r="E800" t="str">
        <f>VLOOKUP(D800,'Tên SP'!B$2:C$1070,2,0)</f>
        <v>NƯỚC XẢ VẢI LIXSOFT HƯƠNG HOA HỒNG 3,6L/C04</v>
      </c>
      <c r="F800" s="4">
        <v>81000</v>
      </c>
      <c r="G800">
        <v>1</v>
      </c>
      <c r="H800" s="4">
        <v>81000</v>
      </c>
      <c r="I800" s="4">
        <v>0</v>
      </c>
      <c r="J800" s="5">
        <f t="shared" si="12"/>
        <v>81000</v>
      </c>
    </row>
    <row r="801" spans="1:10" x14ac:dyDescent="0.25">
      <c r="A801" s="6">
        <v>809</v>
      </c>
      <c r="B801" t="s">
        <v>2067</v>
      </c>
      <c r="C801" t="s">
        <v>804</v>
      </c>
      <c r="D801" t="s">
        <v>102</v>
      </c>
      <c r="E801" t="str">
        <f>VLOOKUP(D801,'Tên SP'!B$2:C$1070,2,0)</f>
        <v>NƯỚC GIẶT LIX HƯƠNG NƯỚC HOA 3,5KG/T04 TÚI</v>
      </c>
      <c r="F801" s="4">
        <v>92400</v>
      </c>
      <c r="G801">
        <v>1</v>
      </c>
      <c r="H801" s="4">
        <v>92400</v>
      </c>
      <c r="I801" s="4">
        <v>-4620</v>
      </c>
      <c r="J801" s="5">
        <f t="shared" si="12"/>
        <v>87780</v>
      </c>
    </row>
    <row r="802" spans="1:10" x14ac:dyDescent="0.25">
      <c r="A802" s="6">
        <v>810</v>
      </c>
      <c r="B802" t="s">
        <v>2067</v>
      </c>
      <c r="C802" t="s">
        <v>804</v>
      </c>
      <c r="D802" t="s">
        <v>9</v>
      </c>
      <c r="E802" t="str">
        <f>VLOOKUP(D802,'Tên SP'!B$2:C$1070,2,0)</f>
        <v>NƯỚC GIẶT LIX ĐẬM ĐẶC 3,5KG/T04 TÚI</v>
      </c>
      <c r="F802" s="4">
        <v>88000</v>
      </c>
      <c r="G802">
        <v>1</v>
      </c>
      <c r="H802" s="4">
        <v>88000</v>
      </c>
      <c r="I802" s="4">
        <v>-4400</v>
      </c>
      <c r="J802" s="5">
        <f t="shared" si="12"/>
        <v>83600</v>
      </c>
    </row>
    <row r="803" spans="1:10" x14ac:dyDescent="0.25">
      <c r="A803" s="6">
        <v>811</v>
      </c>
      <c r="B803" t="s">
        <v>2068</v>
      </c>
      <c r="C803" t="s">
        <v>805</v>
      </c>
      <c r="D803" t="s">
        <v>23</v>
      </c>
      <c r="E803" t="str">
        <f>VLOOKUP(D803,'Tên SP'!B$2:C$1070,2,0)</f>
        <v>NƯỚC XẢ VẢI LIXSOFT 3,6L/C04</v>
      </c>
      <c r="F803" s="4">
        <v>81000</v>
      </c>
      <c r="G803">
        <v>1</v>
      </c>
      <c r="H803" s="4">
        <v>81000</v>
      </c>
      <c r="I803" s="4">
        <v>0</v>
      </c>
      <c r="J803" s="5">
        <f t="shared" si="12"/>
        <v>81000</v>
      </c>
    </row>
    <row r="804" spans="1:10" x14ac:dyDescent="0.25">
      <c r="A804" s="6">
        <v>812</v>
      </c>
      <c r="B804" t="s">
        <v>2069</v>
      </c>
      <c r="C804" t="s">
        <v>806</v>
      </c>
      <c r="D804" t="s">
        <v>97</v>
      </c>
      <c r="E804" t="str">
        <f>VLOOKUP(D804,'Tên SP'!B$2:C$1070,2,0)</f>
        <v>NƯỚC GIẶT LIX ĐẬM ĐẶC 3,6KG/C04</v>
      </c>
      <c r="F804" s="4">
        <v>105600</v>
      </c>
      <c r="G804">
        <v>1</v>
      </c>
      <c r="H804" s="4">
        <v>105600</v>
      </c>
      <c r="I804" s="4">
        <v>-10000</v>
      </c>
      <c r="J804" s="5">
        <f t="shared" si="12"/>
        <v>95600</v>
      </c>
    </row>
    <row r="805" spans="1:10" x14ac:dyDescent="0.25">
      <c r="A805" s="6">
        <v>813</v>
      </c>
      <c r="B805" t="s">
        <v>2070</v>
      </c>
      <c r="C805" t="s">
        <v>807</v>
      </c>
      <c r="D805" t="s">
        <v>23</v>
      </c>
      <c r="E805" t="str">
        <f>VLOOKUP(D805,'Tên SP'!B$2:C$1070,2,0)</f>
        <v>NƯỚC XẢ VẢI LIXSOFT 3,6L/C04</v>
      </c>
      <c r="F805" s="4">
        <v>81000</v>
      </c>
      <c r="G805">
        <v>1</v>
      </c>
      <c r="H805" s="4">
        <v>81000</v>
      </c>
      <c r="I805" s="4">
        <v>-10000</v>
      </c>
      <c r="J805" s="5">
        <f t="shared" si="12"/>
        <v>71000</v>
      </c>
    </row>
    <row r="806" spans="1:10" x14ac:dyDescent="0.25">
      <c r="A806" s="6">
        <v>814</v>
      </c>
      <c r="B806" t="s">
        <v>2071</v>
      </c>
      <c r="C806" t="s">
        <v>808</v>
      </c>
      <c r="D806" t="s">
        <v>79</v>
      </c>
      <c r="E806" t="str">
        <f>VLOOKUP(D806,'Tên SP'!B$2:C$1070,2,0)</f>
        <v>NƯỚC RỬA CHÉN SIÊU SẠCH CHANH 750G/CH12</v>
      </c>
      <c r="F806" s="4">
        <v>16800</v>
      </c>
      <c r="G806">
        <v>1</v>
      </c>
      <c r="H806" s="4">
        <v>16800</v>
      </c>
      <c r="I806" s="4">
        <v>-8000</v>
      </c>
      <c r="J806" s="5">
        <f t="shared" si="12"/>
        <v>8800</v>
      </c>
    </row>
    <row r="807" spans="1:10" x14ac:dyDescent="0.25">
      <c r="A807" s="6">
        <v>815</v>
      </c>
      <c r="B807" t="s">
        <v>2072</v>
      </c>
      <c r="C807" t="s">
        <v>809</v>
      </c>
      <c r="D807" t="s">
        <v>79</v>
      </c>
      <c r="E807" t="str">
        <f>VLOOKUP(D807,'Tên SP'!B$2:C$1070,2,0)</f>
        <v>NƯỚC RỬA CHÉN SIÊU SẠCH CHANH 750G/CH12</v>
      </c>
      <c r="F807" s="4">
        <v>16800</v>
      </c>
      <c r="G807">
        <v>1</v>
      </c>
      <c r="H807" s="4">
        <v>16800</v>
      </c>
      <c r="I807" s="4">
        <v>-8000</v>
      </c>
      <c r="J807" s="5">
        <f t="shared" si="12"/>
        <v>8800</v>
      </c>
    </row>
    <row r="808" spans="1:10" x14ac:dyDescent="0.25">
      <c r="A808" s="6">
        <v>816</v>
      </c>
      <c r="B808" t="s">
        <v>2073</v>
      </c>
      <c r="C808" t="s">
        <v>810</v>
      </c>
      <c r="D808" t="s">
        <v>79</v>
      </c>
      <c r="E808" t="str">
        <f>VLOOKUP(D808,'Tên SP'!B$2:C$1070,2,0)</f>
        <v>NƯỚC RỬA CHÉN SIÊU SẠCH CHANH 750G/CH12</v>
      </c>
      <c r="F808" s="4">
        <v>16800</v>
      </c>
      <c r="G808">
        <v>1</v>
      </c>
      <c r="H808" s="4">
        <v>16800</v>
      </c>
      <c r="I808" s="4">
        <v>-8000</v>
      </c>
      <c r="J808" s="5">
        <f t="shared" si="12"/>
        <v>8800</v>
      </c>
    </row>
    <row r="809" spans="1:10" x14ac:dyDescent="0.25">
      <c r="A809" s="6">
        <v>817</v>
      </c>
      <c r="B809" t="s">
        <v>2074</v>
      </c>
      <c r="C809" t="s">
        <v>811</v>
      </c>
      <c r="D809" t="s">
        <v>79</v>
      </c>
      <c r="E809" t="str">
        <f>VLOOKUP(D809,'Tên SP'!B$2:C$1070,2,0)</f>
        <v>NƯỚC RỬA CHÉN SIÊU SẠCH CHANH 750G/CH12</v>
      </c>
      <c r="F809" s="4">
        <v>16800</v>
      </c>
      <c r="G809">
        <v>1</v>
      </c>
      <c r="H809" s="4">
        <v>16800</v>
      </c>
      <c r="I809" s="4">
        <v>-8000</v>
      </c>
      <c r="J809" s="5">
        <f t="shared" si="12"/>
        <v>8800</v>
      </c>
    </row>
    <row r="810" spans="1:10" x14ac:dyDescent="0.25">
      <c r="A810" s="6">
        <v>818</v>
      </c>
      <c r="B810" t="s">
        <v>2075</v>
      </c>
      <c r="C810" t="s">
        <v>812</v>
      </c>
      <c r="D810" t="s">
        <v>9</v>
      </c>
      <c r="E810" t="str">
        <f>VLOOKUP(D810,'Tên SP'!B$2:C$1070,2,0)</f>
        <v>NƯỚC GIẶT LIX ĐẬM ĐẶC 3,5KG/T04 TÚI</v>
      </c>
      <c r="F810" s="4">
        <v>88000</v>
      </c>
      <c r="G810">
        <v>1</v>
      </c>
      <c r="H810" s="4">
        <v>88000</v>
      </c>
      <c r="I810" s="4">
        <v>0</v>
      </c>
      <c r="J810" s="5">
        <f t="shared" si="12"/>
        <v>88000</v>
      </c>
    </row>
    <row r="811" spans="1:10" x14ac:dyDescent="0.25">
      <c r="A811" s="6">
        <v>819</v>
      </c>
      <c r="B811" t="s">
        <v>2076</v>
      </c>
      <c r="C811" t="s">
        <v>813</v>
      </c>
      <c r="D811" t="s">
        <v>83</v>
      </c>
      <c r="E811" t="str">
        <f>VLOOKUP(D811,'Tên SP'!B$2:C$1070,2,0)</f>
        <v>NƯỚC RỬA CHÉN SIÊU SẠCH TRÀ 1,5KG/T08- TÚI</v>
      </c>
      <c r="F811" s="4">
        <v>33930</v>
      </c>
      <c r="G811">
        <v>1</v>
      </c>
      <c r="H811" s="4">
        <v>33930</v>
      </c>
      <c r="I811" s="4">
        <v>0</v>
      </c>
      <c r="J811" s="5">
        <f t="shared" si="12"/>
        <v>33930</v>
      </c>
    </row>
    <row r="812" spans="1:10" x14ac:dyDescent="0.25">
      <c r="A812" s="6">
        <v>820</v>
      </c>
      <c r="B812" t="s">
        <v>2077</v>
      </c>
      <c r="C812" t="s">
        <v>814</v>
      </c>
      <c r="D812" t="s">
        <v>106</v>
      </c>
      <c r="E812" t="str">
        <f>VLOOKUP(D812,'Tên SP'!B$2:C$1070,2,0)</f>
        <v>NƯỚC GIẶT LIX SIÊU SẠCH HOA ANH ĐÀO 2.4KG/T06</v>
      </c>
      <c r="F812" s="4">
        <v>60800</v>
      </c>
      <c r="G812">
        <v>1</v>
      </c>
      <c r="H812" s="4">
        <v>60800</v>
      </c>
      <c r="I812" s="4">
        <v>0</v>
      </c>
      <c r="J812" s="5">
        <f t="shared" si="12"/>
        <v>60800</v>
      </c>
    </row>
    <row r="813" spans="1:10" x14ac:dyDescent="0.25">
      <c r="A813" s="6">
        <v>821</v>
      </c>
      <c r="B813" t="s">
        <v>2078</v>
      </c>
      <c r="C813" t="s">
        <v>815</v>
      </c>
      <c r="D813" t="s">
        <v>23</v>
      </c>
      <c r="E813" t="str">
        <f>VLOOKUP(D813,'Tên SP'!B$2:C$1070,2,0)</f>
        <v>NƯỚC XẢ VẢI LIXSOFT 3,6L/C04</v>
      </c>
      <c r="F813" s="4">
        <v>81000</v>
      </c>
      <c r="G813">
        <v>1</v>
      </c>
      <c r="H813" s="4">
        <v>81000</v>
      </c>
      <c r="I813" s="4">
        <v>0</v>
      </c>
      <c r="J813" s="5">
        <f t="shared" si="12"/>
        <v>81000</v>
      </c>
    </row>
    <row r="814" spans="1:10" x14ac:dyDescent="0.25">
      <c r="A814" s="6">
        <v>822</v>
      </c>
      <c r="B814" t="s">
        <v>2079</v>
      </c>
      <c r="C814" t="s">
        <v>816</v>
      </c>
      <c r="D814" t="s">
        <v>102</v>
      </c>
      <c r="E814" t="str">
        <f>VLOOKUP(D814,'Tên SP'!B$2:C$1070,2,0)</f>
        <v>NƯỚC GIẶT LIX HƯƠNG NƯỚC HOA 3,5KG/T04 TÚI</v>
      </c>
      <c r="F814" s="4">
        <v>92400</v>
      </c>
      <c r="G814">
        <v>1</v>
      </c>
      <c r="H814" s="4">
        <v>92400</v>
      </c>
      <c r="I814" s="4">
        <v>-10194</v>
      </c>
      <c r="J814" s="5">
        <f t="shared" si="12"/>
        <v>82206</v>
      </c>
    </row>
    <row r="815" spans="1:10" x14ac:dyDescent="0.25">
      <c r="A815" s="6">
        <v>823</v>
      </c>
      <c r="B815" t="s">
        <v>2079</v>
      </c>
      <c r="C815" t="s">
        <v>816</v>
      </c>
      <c r="D815" t="s">
        <v>102</v>
      </c>
      <c r="E815" t="str">
        <f>VLOOKUP(D815,'Tên SP'!B$2:C$1070,2,0)</f>
        <v>NƯỚC GIẶT LIX HƯƠNG NƯỚC HOA 3,5KG/T04 TÚI</v>
      </c>
      <c r="F815" s="4">
        <v>92400</v>
      </c>
      <c r="G815">
        <v>1</v>
      </c>
      <c r="H815" s="4">
        <v>92400</v>
      </c>
      <c r="I815" s="4">
        <v>-10194</v>
      </c>
      <c r="J815" s="5">
        <f t="shared" si="12"/>
        <v>82206</v>
      </c>
    </row>
    <row r="816" spans="1:10" x14ac:dyDescent="0.25">
      <c r="A816" s="6">
        <v>824</v>
      </c>
      <c r="B816" t="s">
        <v>2079</v>
      </c>
      <c r="C816" t="s">
        <v>816</v>
      </c>
      <c r="D816" t="s">
        <v>102</v>
      </c>
      <c r="E816" t="str">
        <f>VLOOKUP(D816,'Tên SP'!B$2:C$1070,2,0)</f>
        <v>NƯỚC GIẶT LIX HƯƠNG NƯỚC HOA 3,5KG/T04 TÚI</v>
      </c>
      <c r="F816" s="4">
        <v>92400</v>
      </c>
      <c r="G816">
        <v>1</v>
      </c>
      <c r="H816" s="4">
        <v>92400</v>
      </c>
      <c r="I816" s="4">
        <v>-10194</v>
      </c>
      <c r="J816" s="5">
        <f t="shared" si="12"/>
        <v>82206</v>
      </c>
    </row>
    <row r="817" spans="1:10" x14ac:dyDescent="0.25">
      <c r="A817" s="6">
        <v>825</v>
      </c>
      <c r="B817" t="s">
        <v>2079</v>
      </c>
      <c r="C817" t="s">
        <v>816</v>
      </c>
      <c r="D817" t="s">
        <v>9</v>
      </c>
      <c r="E817" t="str">
        <f>VLOOKUP(D817,'Tên SP'!B$2:C$1070,2,0)</f>
        <v>NƯỚC GIẶT LIX ĐẬM ĐẶC 3,5KG/T04 TÚI</v>
      </c>
      <c r="F817" s="4">
        <v>88000</v>
      </c>
      <c r="G817">
        <v>1</v>
      </c>
      <c r="H817" s="4">
        <v>88000</v>
      </c>
      <c r="I817" s="4">
        <v>-9709</v>
      </c>
      <c r="J817" s="5">
        <f t="shared" si="12"/>
        <v>78291</v>
      </c>
    </row>
    <row r="818" spans="1:10" x14ac:dyDescent="0.25">
      <c r="A818" s="6">
        <v>826</v>
      </c>
      <c r="B818" t="s">
        <v>2079</v>
      </c>
      <c r="C818" t="s">
        <v>816</v>
      </c>
      <c r="D818" t="s">
        <v>9</v>
      </c>
      <c r="E818" t="str">
        <f>VLOOKUP(D818,'Tên SP'!B$2:C$1070,2,0)</f>
        <v>NƯỚC GIẶT LIX ĐẬM ĐẶC 3,5KG/T04 TÚI</v>
      </c>
      <c r="F818" s="4">
        <v>88000</v>
      </c>
      <c r="G818">
        <v>1</v>
      </c>
      <c r="H818" s="4">
        <v>88000</v>
      </c>
      <c r="I818" s="4">
        <v>-9709</v>
      </c>
      <c r="J818" s="5">
        <f t="shared" si="12"/>
        <v>78291</v>
      </c>
    </row>
    <row r="819" spans="1:10" x14ac:dyDescent="0.25">
      <c r="A819" s="6">
        <v>827</v>
      </c>
      <c r="B819" t="s">
        <v>2080</v>
      </c>
      <c r="C819" t="s">
        <v>817</v>
      </c>
      <c r="D819" t="s">
        <v>9</v>
      </c>
      <c r="E819" t="str">
        <f>VLOOKUP(D819,'Tên SP'!B$2:C$1070,2,0)</f>
        <v>NƯỚC GIẶT LIX ĐẬM ĐẶC 3,5KG/T04 TÚI</v>
      </c>
      <c r="F819" s="4">
        <v>88000</v>
      </c>
      <c r="G819">
        <v>1</v>
      </c>
      <c r="H819" s="4">
        <v>88000</v>
      </c>
      <c r="I819" s="4">
        <v>-7843</v>
      </c>
      <c r="J819" s="5">
        <f t="shared" si="12"/>
        <v>80157</v>
      </c>
    </row>
    <row r="820" spans="1:10" x14ac:dyDescent="0.25">
      <c r="A820" s="6">
        <v>828</v>
      </c>
      <c r="B820" t="s">
        <v>2080</v>
      </c>
      <c r="C820" t="s">
        <v>817</v>
      </c>
      <c r="D820" t="s">
        <v>9</v>
      </c>
      <c r="E820" t="str">
        <f>VLOOKUP(D820,'Tên SP'!B$2:C$1070,2,0)</f>
        <v>NƯỚC GIẶT LIX ĐẬM ĐẶC 3,5KG/T04 TÚI</v>
      </c>
      <c r="F820" s="4">
        <v>88000</v>
      </c>
      <c r="G820">
        <v>1</v>
      </c>
      <c r="H820" s="4">
        <v>88000</v>
      </c>
      <c r="I820" s="4">
        <v>-7844</v>
      </c>
      <c r="J820" s="5">
        <f t="shared" si="12"/>
        <v>80156</v>
      </c>
    </row>
    <row r="821" spans="1:10" x14ac:dyDescent="0.25">
      <c r="A821" s="6">
        <v>829</v>
      </c>
      <c r="B821" t="s">
        <v>2080</v>
      </c>
      <c r="C821" t="s">
        <v>817</v>
      </c>
      <c r="D821" t="s">
        <v>9</v>
      </c>
      <c r="E821" t="str">
        <f>VLOOKUP(D821,'Tên SP'!B$2:C$1070,2,0)</f>
        <v>NƯỚC GIẶT LIX ĐẬM ĐẶC 3,5KG/T04 TÚI</v>
      </c>
      <c r="F821" s="4">
        <v>88000</v>
      </c>
      <c r="G821">
        <v>1</v>
      </c>
      <c r="H821" s="4">
        <v>88000</v>
      </c>
      <c r="I821" s="4">
        <v>-7843</v>
      </c>
      <c r="J821" s="5">
        <f t="shared" si="12"/>
        <v>80157</v>
      </c>
    </row>
    <row r="822" spans="1:10" x14ac:dyDescent="0.25">
      <c r="A822" s="6">
        <v>830</v>
      </c>
      <c r="B822" t="s">
        <v>2080</v>
      </c>
      <c r="C822" t="s">
        <v>817</v>
      </c>
      <c r="D822" t="s">
        <v>102</v>
      </c>
      <c r="E822" t="str">
        <f>VLOOKUP(D822,'Tên SP'!B$2:C$1070,2,0)</f>
        <v>NƯỚC GIẶT LIX HƯƠNG NƯỚC HOA 3,5KG/T04 TÚI</v>
      </c>
      <c r="F822" s="4">
        <v>92400</v>
      </c>
      <c r="G822">
        <v>1</v>
      </c>
      <c r="H822" s="4">
        <v>92400</v>
      </c>
      <c r="I822" s="4">
        <v>-8235</v>
      </c>
      <c r="J822" s="5">
        <f t="shared" si="12"/>
        <v>84165</v>
      </c>
    </row>
    <row r="823" spans="1:10" x14ac:dyDescent="0.25">
      <c r="A823" s="6">
        <v>831</v>
      </c>
      <c r="B823" t="s">
        <v>2080</v>
      </c>
      <c r="C823" t="s">
        <v>817</v>
      </c>
      <c r="D823" t="s">
        <v>102</v>
      </c>
      <c r="E823" t="str">
        <f>VLOOKUP(D823,'Tên SP'!B$2:C$1070,2,0)</f>
        <v>NƯỚC GIẶT LIX HƯƠNG NƯỚC HOA 3,5KG/T04 TÚI</v>
      </c>
      <c r="F823" s="4">
        <v>92400</v>
      </c>
      <c r="G823">
        <v>1</v>
      </c>
      <c r="H823" s="4">
        <v>92400</v>
      </c>
      <c r="I823" s="4">
        <v>-8235</v>
      </c>
      <c r="J823" s="5">
        <f t="shared" si="12"/>
        <v>84165</v>
      </c>
    </row>
    <row r="824" spans="1:10" x14ac:dyDescent="0.25">
      <c r="A824" s="6">
        <v>832</v>
      </c>
      <c r="B824" t="s">
        <v>2081</v>
      </c>
      <c r="C824" t="s">
        <v>818</v>
      </c>
      <c r="D824" t="s">
        <v>23</v>
      </c>
      <c r="E824" t="str">
        <f>VLOOKUP(D824,'Tên SP'!B$2:C$1070,2,0)</f>
        <v>NƯỚC XẢ VẢI LIXSOFT 3,6L/C04</v>
      </c>
      <c r="F824" s="4">
        <v>81000</v>
      </c>
      <c r="G824">
        <v>1</v>
      </c>
      <c r="H824" s="4">
        <v>81000</v>
      </c>
      <c r="I824" s="4">
        <v>-10000</v>
      </c>
      <c r="J824" s="5">
        <f t="shared" si="12"/>
        <v>71000</v>
      </c>
    </row>
    <row r="825" spans="1:10" x14ac:dyDescent="0.25">
      <c r="A825" s="6">
        <v>833</v>
      </c>
      <c r="B825" t="s">
        <v>2082</v>
      </c>
      <c r="C825" t="s">
        <v>819</v>
      </c>
      <c r="D825" t="s">
        <v>142</v>
      </c>
      <c r="E825" t="str">
        <f>VLOOKUP(D825,'Tên SP'!B$2:C$1070,2,0)</f>
        <v>NƯỚC RỬA CHÉN ON1 TINH DẦU GỪNG CAM 500G/CH20</v>
      </c>
      <c r="F825" s="4">
        <v>34400</v>
      </c>
      <c r="G825">
        <v>1</v>
      </c>
      <c r="H825" s="4">
        <v>34400</v>
      </c>
      <c r="I825" s="4">
        <v>-1720</v>
      </c>
      <c r="J825" s="5">
        <f t="shared" si="12"/>
        <v>32680</v>
      </c>
    </row>
    <row r="826" spans="1:10" x14ac:dyDescent="0.25">
      <c r="A826" s="6">
        <v>834</v>
      </c>
      <c r="B826" t="s">
        <v>2082</v>
      </c>
      <c r="C826" t="s">
        <v>819</v>
      </c>
      <c r="D826" t="s">
        <v>142</v>
      </c>
      <c r="E826" t="str">
        <f>VLOOKUP(D826,'Tên SP'!B$2:C$1070,2,0)</f>
        <v>NƯỚC RỬA CHÉN ON1 TINH DẦU GỪNG CAM 500G/CH20</v>
      </c>
      <c r="F826" s="4">
        <v>34400</v>
      </c>
      <c r="G826">
        <v>1</v>
      </c>
      <c r="H826" s="4">
        <v>34400</v>
      </c>
      <c r="I826" s="4">
        <v>-1720</v>
      </c>
      <c r="J826" s="5">
        <f t="shared" ref="J826:J889" si="13">H826+I826</f>
        <v>32680</v>
      </c>
    </row>
    <row r="827" spans="1:10" x14ac:dyDescent="0.25">
      <c r="A827" s="6">
        <v>835</v>
      </c>
      <c r="B827" t="s">
        <v>2083</v>
      </c>
      <c r="C827" t="s">
        <v>820</v>
      </c>
      <c r="D827" t="s">
        <v>28</v>
      </c>
      <c r="E827" t="str">
        <f>VLOOKUP(D827,'Tên SP'!B$2:C$1070,2,0)</f>
        <v>NƯỚC XẢ VẢI LIXSOFT HƯƠNG HOA HỒNG 3,6L/C04</v>
      </c>
      <c r="F827" s="4">
        <v>81000</v>
      </c>
      <c r="G827">
        <v>1</v>
      </c>
      <c r="H827" s="4">
        <v>81000</v>
      </c>
      <c r="I827" s="4">
        <v>-10000</v>
      </c>
      <c r="J827" s="5">
        <f t="shared" si="13"/>
        <v>71000</v>
      </c>
    </row>
    <row r="828" spans="1:10" x14ac:dyDescent="0.25">
      <c r="A828" s="6">
        <v>836</v>
      </c>
      <c r="B828" t="s">
        <v>2084</v>
      </c>
      <c r="C828" t="s">
        <v>821</v>
      </c>
      <c r="D828" t="s">
        <v>9</v>
      </c>
      <c r="E828" t="str">
        <f>VLOOKUP(D828,'Tên SP'!B$2:C$1070,2,0)</f>
        <v>NƯỚC GIẶT LIX ĐẬM ĐẶC 3,5KG/T04 TÚI</v>
      </c>
      <c r="F828" s="4">
        <v>88000</v>
      </c>
      <c r="G828">
        <v>1</v>
      </c>
      <c r="H828" s="4">
        <v>88000</v>
      </c>
      <c r="I828" s="4">
        <v>-13200</v>
      </c>
      <c r="J828" s="5">
        <f t="shared" si="13"/>
        <v>74800</v>
      </c>
    </row>
    <row r="829" spans="1:10" x14ac:dyDescent="0.25">
      <c r="A829" s="6">
        <v>837</v>
      </c>
      <c r="B829" t="s">
        <v>2085</v>
      </c>
      <c r="C829" t="s">
        <v>822</v>
      </c>
      <c r="D829" t="s">
        <v>9</v>
      </c>
      <c r="E829" t="str">
        <f>VLOOKUP(D829,'Tên SP'!B$2:C$1070,2,0)</f>
        <v>NƯỚC GIẶT LIX ĐẬM ĐẶC 3,5KG/T04 TÚI</v>
      </c>
      <c r="F829" s="4">
        <v>88000</v>
      </c>
      <c r="G829">
        <v>1</v>
      </c>
      <c r="H829" s="4">
        <v>88000</v>
      </c>
      <c r="I829" s="4">
        <v>-13200</v>
      </c>
      <c r="J829" s="5">
        <f t="shared" si="13"/>
        <v>74800</v>
      </c>
    </row>
    <row r="830" spans="1:10" x14ac:dyDescent="0.25">
      <c r="A830" s="6">
        <v>838</v>
      </c>
      <c r="B830" t="s">
        <v>2085</v>
      </c>
      <c r="C830" t="s">
        <v>823</v>
      </c>
      <c r="D830" t="s">
        <v>9</v>
      </c>
      <c r="E830" t="str">
        <f>VLOOKUP(D830,'Tên SP'!B$2:C$1070,2,0)</f>
        <v>NƯỚC GIẶT LIX ĐẬM ĐẶC 3,5KG/T04 TÚI</v>
      </c>
      <c r="F830" s="4">
        <v>88000</v>
      </c>
      <c r="G830">
        <v>1</v>
      </c>
      <c r="H830" s="4">
        <v>88000</v>
      </c>
      <c r="I830" s="4">
        <v>-8000</v>
      </c>
      <c r="J830" s="5">
        <f t="shared" si="13"/>
        <v>80000</v>
      </c>
    </row>
    <row r="831" spans="1:10" x14ac:dyDescent="0.25">
      <c r="A831" s="6">
        <v>839</v>
      </c>
      <c r="B831" t="s">
        <v>2086</v>
      </c>
      <c r="C831" t="s">
        <v>824</v>
      </c>
      <c r="D831" t="s">
        <v>9</v>
      </c>
      <c r="E831" t="str">
        <f>VLOOKUP(D831,'Tên SP'!B$2:C$1070,2,0)</f>
        <v>NƯỚC GIẶT LIX ĐẬM ĐẶC 3,5KG/T04 TÚI</v>
      </c>
      <c r="F831" s="4">
        <v>88000</v>
      </c>
      <c r="G831">
        <v>1</v>
      </c>
      <c r="H831" s="4">
        <v>88000</v>
      </c>
      <c r="I831" s="4">
        <v>-8000</v>
      </c>
      <c r="J831" s="5">
        <f t="shared" si="13"/>
        <v>80000</v>
      </c>
    </row>
    <row r="832" spans="1:10" x14ac:dyDescent="0.25">
      <c r="A832" s="6">
        <v>840</v>
      </c>
      <c r="B832" t="s">
        <v>2087</v>
      </c>
      <c r="C832" t="s">
        <v>825</v>
      </c>
      <c r="D832" t="s">
        <v>9</v>
      </c>
      <c r="E832" t="str">
        <f>VLOOKUP(D832,'Tên SP'!B$2:C$1070,2,0)</f>
        <v>NƯỚC GIẶT LIX ĐẬM ĐẶC 3,5KG/T04 TÚI</v>
      </c>
      <c r="F832" s="4">
        <v>88000</v>
      </c>
      <c r="G832">
        <v>1</v>
      </c>
      <c r="H832" s="4">
        <v>88000</v>
      </c>
      <c r="I832" s="4">
        <v>-8000</v>
      </c>
      <c r="J832" s="5">
        <f t="shared" si="13"/>
        <v>80000</v>
      </c>
    </row>
    <row r="833" spans="1:10" x14ac:dyDescent="0.25">
      <c r="A833" s="6">
        <v>841</v>
      </c>
      <c r="B833" t="s">
        <v>2087</v>
      </c>
      <c r="C833" t="s">
        <v>826</v>
      </c>
      <c r="D833" t="s">
        <v>106</v>
      </c>
      <c r="E833" t="str">
        <f>VLOOKUP(D833,'Tên SP'!B$2:C$1070,2,0)</f>
        <v>NƯỚC GIẶT LIX SIÊU SẠCH HOA ANH ĐÀO 2.4KG/T06</v>
      </c>
      <c r="F833" s="4">
        <v>60800</v>
      </c>
      <c r="G833">
        <v>1</v>
      </c>
      <c r="H833" s="4">
        <v>60800</v>
      </c>
      <c r="I833" s="4">
        <v>-8000</v>
      </c>
      <c r="J833" s="5">
        <f t="shared" si="13"/>
        <v>52800</v>
      </c>
    </row>
    <row r="834" spans="1:10" x14ac:dyDescent="0.25">
      <c r="A834" s="6">
        <v>842</v>
      </c>
      <c r="B834" t="s">
        <v>2088</v>
      </c>
      <c r="C834" t="s">
        <v>827</v>
      </c>
      <c r="D834" t="s">
        <v>9</v>
      </c>
      <c r="E834" t="str">
        <f>VLOOKUP(D834,'Tên SP'!B$2:C$1070,2,0)</f>
        <v>NƯỚC GIẶT LIX ĐẬM ĐẶC 3,5KG/T04 TÚI</v>
      </c>
      <c r="F834" s="4">
        <v>88000</v>
      </c>
      <c r="G834">
        <v>1</v>
      </c>
      <c r="H834" s="4">
        <v>88000</v>
      </c>
      <c r="I834" s="4">
        <v>0</v>
      </c>
      <c r="J834" s="5">
        <f t="shared" si="13"/>
        <v>88000</v>
      </c>
    </row>
    <row r="835" spans="1:10" x14ac:dyDescent="0.25">
      <c r="A835" s="6">
        <v>843</v>
      </c>
      <c r="B835" t="s">
        <v>2089</v>
      </c>
      <c r="C835" t="s">
        <v>828</v>
      </c>
      <c r="D835" t="s">
        <v>28</v>
      </c>
      <c r="E835" t="str">
        <f>VLOOKUP(D835,'Tên SP'!B$2:C$1070,2,0)</f>
        <v>NƯỚC XẢ VẢI LIXSOFT HƯƠNG HOA HỒNG 3,6L/C04</v>
      </c>
      <c r="F835" s="4">
        <v>81000</v>
      </c>
      <c r="G835">
        <v>1</v>
      </c>
      <c r="H835" s="4">
        <v>81000</v>
      </c>
      <c r="I835" s="4">
        <v>0</v>
      </c>
      <c r="J835" s="5">
        <f t="shared" si="13"/>
        <v>81000</v>
      </c>
    </row>
    <row r="836" spans="1:10" x14ac:dyDescent="0.25">
      <c r="A836" s="6">
        <v>844</v>
      </c>
      <c r="B836" t="s">
        <v>2090</v>
      </c>
      <c r="C836" t="s">
        <v>829</v>
      </c>
      <c r="D836" t="s">
        <v>9</v>
      </c>
      <c r="E836" t="str">
        <f>VLOOKUP(D836,'Tên SP'!B$2:C$1070,2,0)</f>
        <v>NƯỚC GIẶT LIX ĐẬM ĐẶC 3,5KG/T04 TÚI</v>
      </c>
      <c r="F836" s="4">
        <v>88000</v>
      </c>
      <c r="G836">
        <v>1</v>
      </c>
      <c r="H836" s="4">
        <v>88000</v>
      </c>
      <c r="I836" s="4">
        <v>-10000</v>
      </c>
      <c r="J836" s="5">
        <f t="shared" si="13"/>
        <v>78000</v>
      </c>
    </row>
    <row r="837" spans="1:10" x14ac:dyDescent="0.25">
      <c r="A837" s="6">
        <v>845</v>
      </c>
      <c r="B837" t="s">
        <v>2091</v>
      </c>
      <c r="C837" t="s">
        <v>830</v>
      </c>
      <c r="D837" t="s">
        <v>9</v>
      </c>
      <c r="E837" t="str">
        <f>VLOOKUP(D837,'Tên SP'!B$2:C$1070,2,0)</f>
        <v>NƯỚC GIẶT LIX ĐẬM ĐẶC 3,5KG/T04 TÚI</v>
      </c>
      <c r="F837" s="4">
        <v>88000</v>
      </c>
      <c r="G837">
        <v>1</v>
      </c>
      <c r="H837" s="4">
        <v>88000</v>
      </c>
      <c r="I837" s="4">
        <v>-8000</v>
      </c>
      <c r="J837" s="5">
        <f t="shared" si="13"/>
        <v>80000</v>
      </c>
    </row>
    <row r="838" spans="1:10" x14ac:dyDescent="0.25">
      <c r="A838" s="6">
        <v>846</v>
      </c>
      <c r="B838" t="s">
        <v>2092</v>
      </c>
      <c r="C838" t="s">
        <v>831</v>
      </c>
      <c r="D838" t="s">
        <v>56</v>
      </c>
      <c r="E838" t="str">
        <f>VLOOKUP(D838,'Tên SP'!B$2:C$1070,2,0)</f>
        <v>BỘT GIẶT LIX ĐẬM ĐẶC 400G/24</v>
      </c>
      <c r="F838" s="4">
        <v>16000</v>
      </c>
      <c r="G838">
        <v>1</v>
      </c>
      <c r="H838" s="4">
        <v>16000</v>
      </c>
      <c r="I838" s="4">
        <v>-13538</v>
      </c>
      <c r="J838" s="5">
        <f t="shared" si="13"/>
        <v>2462</v>
      </c>
    </row>
    <row r="839" spans="1:10" x14ac:dyDescent="0.25">
      <c r="A839" s="6">
        <v>847</v>
      </c>
      <c r="B839" t="s">
        <v>2092</v>
      </c>
      <c r="C839" t="s">
        <v>831</v>
      </c>
      <c r="D839" t="s">
        <v>9</v>
      </c>
      <c r="E839" t="str">
        <f>VLOOKUP(D839,'Tên SP'!B$2:C$1070,2,0)</f>
        <v>NƯỚC GIẶT LIX ĐẬM ĐẶC 3,5KG/T04 TÚI</v>
      </c>
      <c r="F839" s="4">
        <v>88000</v>
      </c>
      <c r="G839">
        <v>1</v>
      </c>
      <c r="H839" s="4">
        <v>88000</v>
      </c>
      <c r="I839" s="4">
        <v>-74462</v>
      </c>
      <c r="J839" s="5">
        <f t="shared" si="13"/>
        <v>13538</v>
      </c>
    </row>
    <row r="840" spans="1:10" x14ac:dyDescent="0.25">
      <c r="A840" s="6">
        <v>848</v>
      </c>
      <c r="B840" t="s">
        <v>2093</v>
      </c>
      <c r="C840" t="s">
        <v>832</v>
      </c>
      <c r="D840" t="s">
        <v>9</v>
      </c>
      <c r="E840" t="str">
        <f>VLOOKUP(D840,'Tên SP'!B$2:C$1070,2,0)</f>
        <v>NƯỚC GIẶT LIX ĐẬM ĐẶC 3,5KG/T04 TÚI</v>
      </c>
      <c r="F840" s="4">
        <v>88000</v>
      </c>
      <c r="G840">
        <v>1</v>
      </c>
      <c r="H840" s="4">
        <v>88000</v>
      </c>
      <c r="I840" s="4">
        <v>-8000</v>
      </c>
      <c r="J840" s="5">
        <f t="shared" si="13"/>
        <v>80000</v>
      </c>
    </row>
    <row r="841" spans="1:10" x14ac:dyDescent="0.25">
      <c r="A841" s="6">
        <v>849</v>
      </c>
      <c r="B841" t="s">
        <v>2094</v>
      </c>
      <c r="C841" t="s">
        <v>833</v>
      </c>
      <c r="D841" t="s">
        <v>9</v>
      </c>
      <c r="E841" t="str">
        <f>VLOOKUP(D841,'Tên SP'!B$2:C$1070,2,0)</f>
        <v>NƯỚC GIẶT LIX ĐẬM ĐẶC 3,5KG/T04 TÚI</v>
      </c>
      <c r="F841" s="4">
        <v>88000</v>
      </c>
      <c r="G841">
        <v>1</v>
      </c>
      <c r="H841" s="4">
        <v>88000</v>
      </c>
      <c r="I841" s="4">
        <v>-4000</v>
      </c>
      <c r="J841" s="5">
        <f t="shared" si="13"/>
        <v>84000</v>
      </c>
    </row>
    <row r="842" spans="1:10" x14ac:dyDescent="0.25">
      <c r="A842" s="6">
        <v>850</v>
      </c>
      <c r="B842" t="s">
        <v>2094</v>
      </c>
      <c r="C842" t="s">
        <v>833</v>
      </c>
      <c r="D842" t="s">
        <v>9</v>
      </c>
      <c r="E842" t="str">
        <f>VLOOKUP(D842,'Tên SP'!B$2:C$1070,2,0)</f>
        <v>NƯỚC GIẶT LIX ĐẬM ĐẶC 3,5KG/T04 TÚI</v>
      </c>
      <c r="F842" s="4">
        <v>88000</v>
      </c>
      <c r="G842">
        <v>1</v>
      </c>
      <c r="H842" s="4">
        <v>88000</v>
      </c>
      <c r="I842" s="4">
        <v>-4000</v>
      </c>
      <c r="J842" s="5">
        <f t="shared" si="13"/>
        <v>84000</v>
      </c>
    </row>
    <row r="843" spans="1:10" x14ac:dyDescent="0.25">
      <c r="A843" s="6">
        <v>851</v>
      </c>
      <c r="B843" t="s">
        <v>2095</v>
      </c>
      <c r="C843" t="s">
        <v>834</v>
      </c>
      <c r="D843" t="s">
        <v>38</v>
      </c>
      <c r="E843" t="str">
        <f>VLOOKUP(D843,'Tên SP'!B$2:C$1070,2,0)</f>
        <v>BỘT GIẶT LIXE HƯƠNG NƯỚC HOA 5,5KG/03</v>
      </c>
      <c r="F843" s="4">
        <v>127600</v>
      </c>
      <c r="G843">
        <v>1</v>
      </c>
      <c r="H843" s="4">
        <v>127600</v>
      </c>
      <c r="I843" s="4">
        <v>-10000</v>
      </c>
      <c r="J843" s="5">
        <f t="shared" si="13"/>
        <v>117600</v>
      </c>
    </row>
    <row r="844" spans="1:10" x14ac:dyDescent="0.25">
      <c r="A844" s="6">
        <v>852</v>
      </c>
      <c r="B844" t="s">
        <v>2096</v>
      </c>
      <c r="C844" t="s">
        <v>835</v>
      </c>
      <c r="D844" t="s">
        <v>102</v>
      </c>
      <c r="E844" t="str">
        <f>VLOOKUP(D844,'Tên SP'!B$2:C$1070,2,0)</f>
        <v>NƯỚC GIẶT LIX HƯƠNG NƯỚC HOA 3,5KG/T04 TÚI</v>
      </c>
      <c r="F844" s="4">
        <v>88000</v>
      </c>
      <c r="G844">
        <v>1</v>
      </c>
      <c r="H844" s="4">
        <v>88000</v>
      </c>
      <c r="I844" s="4">
        <v>0</v>
      </c>
      <c r="J844" s="5">
        <f t="shared" si="13"/>
        <v>88000</v>
      </c>
    </row>
    <row r="845" spans="1:10" x14ac:dyDescent="0.25">
      <c r="A845" s="6">
        <v>853</v>
      </c>
      <c r="B845" t="s">
        <v>2097</v>
      </c>
      <c r="C845" t="s">
        <v>836</v>
      </c>
      <c r="D845" t="s">
        <v>28</v>
      </c>
      <c r="E845" t="str">
        <f>VLOOKUP(D845,'Tên SP'!B$2:C$1070,2,0)</f>
        <v>NƯỚC XẢ VẢI LIXSOFT HƯƠNG HOA HỒNG 3,6L/C04</v>
      </c>
      <c r="F845" s="4">
        <v>81000</v>
      </c>
      <c r="G845">
        <v>1</v>
      </c>
      <c r="H845" s="4">
        <v>81000</v>
      </c>
      <c r="I845" s="4">
        <v>-4050</v>
      </c>
      <c r="J845" s="5">
        <f t="shared" si="13"/>
        <v>76950</v>
      </c>
    </row>
    <row r="846" spans="1:10" x14ac:dyDescent="0.25">
      <c r="A846" s="6">
        <v>854</v>
      </c>
      <c r="B846" t="s">
        <v>2097</v>
      </c>
      <c r="C846" t="s">
        <v>836</v>
      </c>
      <c r="D846" t="s">
        <v>176</v>
      </c>
      <c r="E846" t="str">
        <f>VLOOKUP(D846,'Tên SP'!B$2:C$1070,2,0)</f>
        <v>NƯỚC LAU SÀN ON1 TINH DẦU ĐINH HƯƠNG &amp; HOẮC HƯƠNG 2,6L/C06</v>
      </c>
      <c r="F846" s="4">
        <v>88100</v>
      </c>
      <c r="G846">
        <v>1</v>
      </c>
      <c r="H846" s="4">
        <v>88100</v>
      </c>
      <c r="I846" s="4">
        <v>-4405</v>
      </c>
      <c r="J846" s="5">
        <f t="shared" si="13"/>
        <v>83695</v>
      </c>
    </row>
    <row r="847" spans="1:10" x14ac:dyDescent="0.25">
      <c r="A847" s="6">
        <v>855</v>
      </c>
      <c r="B847" t="s">
        <v>2097</v>
      </c>
      <c r="C847" t="s">
        <v>836</v>
      </c>
      <c r="D847" t="s">
        <v>81</v>
      </c>
      <c r="E847" t="str">
        <f>VLOOKUP(D847,'Tên SP'!B$2:C$1070,2,0)</f>
        <v>NƯỚC RỬA CHÉN SIÊU SẠCH TRÀ 3,5KG/T04- TÚI</v>
      </c>
      <c r="F847" s="4">
        <v>72000</v>
      </c>
      <c r="G847">
        <v>1</v>
      </c>
      <c r="H847" s="4">
        <v>72000</v>
      </c>
      <c r="I847" s="4">
        <v>-3600</v>
      </c>
      <c r="J847" s="5">
        <f t="shared" si="13"/>
        <v>68400</v>
      </c>
    </row>
    <row r="848" spans="1:10" x14ac:dyDescent="0.25">
      <c r="A848" s="6">
        <v>856</v>
      </c>
      <c r="B848" t="s">
        <v>2097</v>
      </c>
      <c r="C848" t="s">
        <v>836</v>
      </c>
      <c r="D848" t="s">
        <v>9</v>
      </c>
      <c r="E848" t="str">
        <f>VLOOKUP(D848,'Tên SP'!B$2:C$1070,2,0)</f>
        <v>NƯỚC GIẶT LIX ĐẬM ĐẶC 3,5KG/T04 TÚI</v>
      </c>
      <c r="F848" s="4">
        <v>88000</v>
      </c>
      <c r="G848">
        <v>1</v>
      </c>
      <c r="H848" s="4">
        <v>88000</v>
      </c>
      <c r="I848" s="4">
        <v>-4400</v>
      </c>
      <c r="J848" s="5">
        <f t="shared" si="13"/>
        <v>83600</v>
      </c>
    </row>
    <row r="849" spans="1:10" x14ac:dyDescent="0.25">
      <c r="A849" s="6">
        <v>857</v>
      </c>
      <c r="B849" t="s">
        <v>2098</v>
      </c>
      <c r="C849" t="s">
        <v>837</v>
      </c>
      <c r="D849" t="s">
        <v>38</v>
      </c>
      <c r="E849" t="str">
        <f>VLOOKUP(D849,'Tên SP'!B$2:C$1070,2,0)</f>
        <v>BỘT GIẶT LIXE HƯƠNG NƯỚC HOA 5,5KG/03</v>
      </c>
      <c r="F849" s="4">
        <v>127600</v>
      </c>
      <c r="G849">
        <v>1</v>
      </c>
      <c r="H849" s="4">
        <v>127600</v>
      </c>
      <c r="I849" s="4">
        <v>0</v>
      </c>
      <c r="J849" s="5">
        <f t="shared" si="13"/>
        <v>127600</v>
      </c>
    </row>
    <row r="850" spans="1:10" x14ac:dyDescent="0.25">
      <c r="A850" s="6">
        <v>858</v>
      </c>
      <c r="B850" t="s">
        <v>2099</v>
      </c>
      <c r="C850" t="s">
        <v>838</v>
      </c>
      <c r="D850" t="s">
        <v>102</v>
      </c>
      <c r="E850" t="str">
        <f>VLOOKUP(D850,'Tên SP'!B$2:C$1070,2,0)</f>
        <v>NƯỚC GIẶT LIX HƯƠNG NƯỚC HOA 3,5KG/T04 TÚI</v>
      </c>
      <c r="F850" s="4">
        <v>88000</v>
      </c>
      <c r="G850">
        <v>1</v>
      </c>
      <c r="H850" s="4">
        <v>88000</v>
      </c>
      <c r="I850" s="4">
        <v>-3000</v>
      </c>
      <c r="J850" s="5">
        <f t="shared" si="13"/>
        <v>85000</v>
      </c>
    </row>
    <row r="851" spans="1:10" x14ac:dyDescent="0.25">
      <c r="A851" s="6">
        <v>859</v>
      </c>
      <c r="B851" t="s">
        <v>2099</v>
      </c>
      <c r="C851" t="s">
        <v>838</v>
      </c>
      <c r="D851" t="s">
        <v>102</v>
      </c>
      <c r="E851" t="str">
        <f>VLOOKUP(D851,'Tên SP'!B$2:C$1070,2,0)</f>
        <v>NƯỚC GIẶT LIX HƯƠNG NƯỚC HOA 3,5KG/T04 TÚI</v>
      </c>
      <c r="F851" s="4">
        <v>88000</v>
      </c>
      <c r="G851">
        <v>1</v>
      </c>
      <c r="H851" s="4">
        <v>88000</v>
      </c>
      <c r="I851" s="4">
        <v>-3000</v>
      </c>
      <c r="J851" s="5">
        <f t="shared" si="13"/>
        <v>85000</v>
      </c>
    </row>
    <row r="852" spans="1:10" x14ac:dyDescent="0.25">
      <c r="A852" s="6">
        <v>860</v>
      </c>
      <c r="B852" t="s">
        <v>2099</v>
      </c>
      <c r="C852" t="s">
        <v>838</v>
      </c>
      <c r="D852" t="s">
        <v>102</v>
      </c>
      <c r="E852" t="str">
        <f>VLOOKUP(D852,'Tên SP'!B$2:C$1070,2,0)</f>
        <v>NƯỚC GIẶT LIX HƯƠNG NƯỚC HOA 3,5KG/T04 TÚI</v>
      </c>
      <c r="F852" s="4">
        <v>88000</v>
      </c>
      <c r="G852">
        <v>1</v>
      </c>
      <c r="H852" s="4">
        <v>88000</v>
      </c>
      <c r="I852" s="4">
        <v>-3000</v>
      </c>
      <c r="J852" s="5">
        <f t="shared" si="13"/>
        <v>85000</v>
      </c>
    </row>
    <row r="853" spans="1:10" x14ac:dyDescent="0.25">
      <c r="A853" s="6">
        <v>861</v>
      </c>
      <c r="B853" t="s">
        <v>2099</v>
      </c>
      <c r="C853" t="s">
        <v>838</v>
      </c>
      <c r="D853" t="s">
        <v>102</v>
      </c>
      <c r="E853" t="str">
        <f>VLOOKUP(D853,'Tên SP'!B$2:C$1070,2,0)</f>
        <v>NƯỚC GIẶT LIX HƯƠNG NƯỚC HOA 3,5KG/T04 TÚI</v>
      </c>
      <c r="F853" s="4">
        <v>88000</v>
      </c>
      <c r="G853">
        <v>1</v>
      </c>
      <c r="H853" s="4">
        <v>88000</v>
      </c>
      <c r="I853" s="4">
        <v>-3000</v>
      </c>
      <c r="J853" s="5">
        <f t="shared" si="13"/>
        <v>85000</v>
      </c>
    </row>
    <row r="854" spans="1:10" x14ac:dyDescent="0.25">
      <c r="A854" s="6">
        <v>862</v>
      </c>
      <c r="B854" t="s">
        <v>2099</v>
      </c>
      <c r="C854" t="s">
        <v>838</v>
      </c>
      <c r="D854" t="s">
        <v>102</v>
      </c>
      <c r="E854" t="str">
        <f>VLOOKUP(D854,'Tên SP'!B$2:C$1070,2,0)</f>
        <v>NƯỚC GIẶT LIX HƯƠNG NƯỚC HOA 3,5KG/T04 TÚI</v>
      </c>
      <c r="F854" s="4">
        <v>88000</v>
      </c>
      <c r="G854">
        <v>1</v>
      </c>
      <c r="H854" s="4">
        <v>88000</v>
      </c>
      <c r="I854" s="4">
        <v>-3000</v>
      </c>
      <c r="J854" s="5">
        <f t="shared" si="13"/>
        <v>85000</v>
      </c>
    </row>
    <row r="855" spans="1:10" x14ac:dyDescent="0.25">
      <c r="A855" s="6">
        <v>863</v>
      </c>
      <c r="B855" t="s">
        <v>2100</v>
      </c>
      <c r="C855" t="s">
        <v>839</v>
      </c>
      <c r="D855" t="s">
        <v>9</v>
      </c>
      <c r="E855" t="str">
        <f>VLOOKUP(D855,'Tên SP'!B$2:C$1070,2,0)</f>
        <v>NƯỚC GIẶT LIX ĐẬM ĐẶC 3,5KG/T04 TÚI</v>
      </c>
      <c r="F855" s="4">
        <v>88000</v>
      </c>
      <c r="G855">
        <v>1</v>
      </c>
      <c r="H855" s="4">
        <v>88000</v>
      </c>
      <c r="I855" s="4">
        <v>0</v>
      </c>
      <c r="J855" s="5">
        <f t="shared" si="13"/>
        <v>88000</v>
      </c>
    </row>
    <row r="856" spans="1:10" x14ac:dyDescent="0.25">
      <c r="A856" s="6">
        <v>864</v>
      </c>
      <c r="B856" t="s">
        <v>2101</v>
      </c>
      <c r="C856" t="s">
        <v>840</v>
      </c>
      <c r="D856" t="s">
        <v>102</v>
      </c>
      <c r="E856" t="str">
        <f>VLOOKUP(D856,'Tên SP'!B$2:C$1070,2,0)</f>
        <v>NƯỚC GIẶT LIX HƯƠNG NƯỚC HOA 3,5KG/T04 TÚI</v>
      </c>
      <c r="F856" s="4">
        <v>88000</v>
      </c>
      <c r="G856">
        <v>1</v>
      </c>
      <c r="H856" s="4">
        <v>88000</v>
      </c>
      <c r="I856" s="4">
        <v>0</v>
      </c>
      <c r="J856" s="5">
        <f t="shared" si="13"/>
        <v>88000</v>
      </c>
    </row>
    <row r="857" spans="1:10" x14ac:dyDescent="0.25">
      <c r="A857" s="6">
        <v>865</v>
      </c>
      <c r="B857" t="s">
        <v>2102</v>
      </c>
      <c r="C857" t="s">
        <v>841</v>
      </c>
      <c r="D857" t="s">
        <v>102</v>
      </c>
      <c r="E857" t="str">
        <f>VLOOKUP(D857,'Tên SP'!B$2:C$1070,2,0)</f>
        <v>NƯỚC GIẶT LIX HƯƠNG NƯỚC HOA 3,5KG/T04 TÚI</v>
      </c>
      <c r="F857" s="4">
        <v>88000</v>
      </c>
      <c r="G857">
        <v>1</v>
      </c>
      <c r="H857" s="4">
        <v>88000</v>
      </c>
      <c r="I857" s="4">
        <v>-2500</v>
      </c>
      <c r="J857" s="5">
        <f t="shared" si="13"/>
        <v>85500</v>
      </c>
    </row>
    <row r="858" spans="1:10" x14ac:dyDescent="0.25">
      <c r="A858" s="6">
        <v>866</v>
      </c>
      <c r="B858" t="s">
        <v>2102</v>
      </c>
      <c r="C858" t="s">
        <v>841</v>
      </c>
      <c r="D858" t="s">
        <v>102</v>
      </c>
      <c r="E858" t="str">
        <f>VLOOKUP(D858,'Tên SP'!B$2:C$1070,2,0)</f>
        <v>NƯỚC GIẶT LIX HƯƠNG NƯỚC HOA 3,5KG/T04 TÚI</v>
      </c>
      <c r="F858" s="4">
        <v>88000</v>
      </c>
      <c r="G858">
        <v>1</v>
      </c>
      <c r="H858" s="4">
        <v>88000</v>
      </c>
      <c r="I858" s="4">
        <v>-2500</v>
      </c>
      <c r="J858" s="5">
        <f t="shared" si="13"/>
        <v>85500</v>
      </c>
    </row>
    <row r="859" spans="1:10" x14ac:dyDescent="0.25">
      <c r="A859" s="6">
        <v>867</v>
      </c>
      <c r="B859" t="s">
        <v>2102</v>
      </c>
      <c r="C859" t="s">
        <v>841</v>
      </c>
      <c r="D859" t="s">
        <v>102</v>
      </c>
      <c r="E859" t="str">
        <f>VLOOKUP(D859,'Tên SP'!B$2:C$1070,2,0)</f>
        <v>NƯỚC GIẶT LIX HƯƠNG NƯỚC HOA 3,5KG/T04 TÚI</v>
      </c>
      <c r="F859" s="4">
        <v>88000</v>
      </c>
      <c r="G859">
        <v>1</v>
      </c>
      <c r="H859" s="4">
        <v>88000</v>
      </c>
      <c r="I859" s="4">
        <v>-2500</v>
      </c>
      <c r="J859" s="5">
        <f t="shared" si="13"/>
        <v>85500</v>
      </c>
    </row>
    <row r="860" spans="1:10" x14ac:dyDescent="0.25">
      <c r="A860" s="6">
        <v>868</v>
      </c>
      <c r="B860" t="s">
        <v>2102</v>
      </c>
      <c r="C860" t="s">
        <v>841</v>
      </c>
      <c r="D860" t="s">
        <v>102</v>
      </c>
      <c r="E860" t="str">
        <f>VLOOKUP(D860,'Tên SP'!B$2:C$1070,2,0)</f>
        <v>NƯỚC GIẶT LIX HƯƠNG NƯỚC HOA 3,5KG/T04 TÚI</v>
      </c>
      <c r="F860" s="4">
        <v>88000</v>
      </c>
      <c r="G860">
        <v>1</v>
      </c>
      <c r="H860" s="4">
        <v>88000</v>
      </c>
      <c r="I860" s="4">
        <v>-2500</v>
      </c>
      <c r="J860" s="5">
        <f t="shared" si="13"/>
        <v>85500</v>
      </c>
    </row>
    <row r="861" spans="1:10" x14ac:dyDescent="0.25">
      <c r="A861" s="6">
        <v>869</v>
      </c>
      <c r="B861" t="s">
        <v>2103</v>
      </c>
      <c r="C861" t="s">
        <v>842</v>
      </c>
      <c r="D861" t="s">
        <v>102</v>
      </c>
      <c r="E861" t="str">
        <f>VLOOKUP(D861,'Tên SP'!B$2:C$1070,2,0)</f>
        <v>NƯỚC GIẶT LIX HƯƠNG NƯỚC HOA 3,5KG/T04 TÚI</v>
      </c>
      <c r="F861" s="4">
        <v>88000</v>
      </c>
      <c r="G861">
        <v>1</v>
      </c>
      <c r="H861" s="4">
        <v>88000</v>
      </c>
      <c r="I861" s="4">
        <v>-4400</v>
      </c>
      <c r="J861" s="5">
        <f t="shared" si="13"/>
        <v>83600</v>
      </c>
    </row>
    <row r="862" spans="1:10" x14ac:dyDescent="0.25">
      <c r="A862" s="6">
        <v>870</v>
      </c>
      <c r="B862" t="s">
        <v>2103</v>
      </c>
      <c r="C862" t="s">
        <v>842</v>
      </c>
      <c r="D862" t="s">
        <v>102</v>
      </c>
      <c r="E862" t="str">
        <f>VLOOKUP(D862,'Tên SP'!B$2:C$1070,2,0)</f>
        <v>NƯỚC GIẶT LIX HƯƠNG NƯỚC HOA 3,5KG/T04 TÚI</v>
      </c>
      <c r="F862" s="4">
        <v>88000</v>
      </c>
      <c r="G862">
        <v>1</v>
      </c>
      <c r="H862" s="4">
        <v>88000</v>
      </c>
      <c r="I862" s="4">
        <v>-4400</v>
      </c>
      <c r="J862" s="5">
        <f t="shared" si="13"/>
        <v>83600</v>
      </c>
    </row>
    <row r="863" spans="1:10" x14ac:dyDescent="0.25">
      <c r="A863" s="6">
        <v>871</v>
      </c>
      <c r="B863" t="s">
        <v>2103</v>
      </c>
      <c r="C863" t="s">
        <v>842</v>
      </c>
      <c r="D863" t="s">
        <v>102</v>
      </c>
      <c r="E863" t="str">
        <f>VLOOKUP(D863,'Tên SP'!B$2:C$1070,2,0)</f>
        <v>NƯỚC GIẶT LIX HƯƠNG NƯỚC HOA 3,5KG/T04 TÚI</v>
      </c>
      <c r="F863" s="4">
        <v>88000</v>
      </c>
      <c r="G863">
        <v>1</v>
      </c>
      <c r="H863" s="4">
        <v>88000</v>
      </c>
      <c r="I863" s="4">
        <v>-4400</v>
      </c>
      <c r="J863" s="5">
        <f t="shared" si="13"/>
        <v>83600</v>
      </c>
    </row>
    <row r="864" spans="1:10" x14ac:dyDescent="0.25">
      <c r="A864" s="6">
        <v>872</v>
      </c>
      <c r="B864" t="s">
        <v>2103</v>
      </c>
      <c r="C864" t="s">
        <v>842</v>
      </c>
      <c r="D864" t="s">
        <v>102</v>
      </c>
      <c r="E864" t="str">
        <f>VLOOKUP(D864,'Tên SP'!B$2:C$1070,2,0)</f>
        <v>NƯỚC GIẶT LIX HƯƠNG NƯỚC HOA 3,5KG/T04 TÚI</v>
      </c>
      <c r="F864" s="4">
        <v>88000</v>
      </c>
      <c r="G864">
        <v>1</v>
      </c>
      <c r="H864" s="4">
        <v>88000</v>
      </c>
      <c r="I864" s="4">
        <v>-4400</v>
      </c>
      <c r="J864" s="5">
        <f t="shared" si="13"/>
        <v>83600</v>
      </c>
    </row>
    <row r="865" spans="1:10" x14ac:dyDescent="0.25">
      <c r="A865" s="6">
        <v>873</v>
      </c>
      <c r="B865" t="s">
        <v>2104</v>
      </c>
      <c r="C865" t="s">
        <v>843</v>
      </c>
      <c r="D865" t="s">
        <v>102</v>
      </c>
      <c r="E865" t="str">
        <f>VLOOKUP(D865,'Tên SP'!B$2:C$1070,2,0)</f>
        <v>NƯỚC GIẶT LIX HƯƠNG NƯỚC HOA 3,5KG/T04 TÚI</v>
      </c>
      <c r="F865" s="4">
        <v>88000</v>
      </c>
      <c r="G865">
        <v>1</v>
      </c>
      <c r="H865" s="4">
        <v>88000</v>
      </c>
      <c r="I865" s="4">
        <v>-4400</v>
      </c>
      <c r="J865" s="5">
        <f t="shared" si="13"/>
        <v>83600</v>
      </c>
    </row>
    <row r="866" spans="1:10" x14ac:dyDescent="0.25">
      <c r="A866" s="6">
        <v>874</v>
      </c>
      <c r="B866" t="s">
        <v>2104</v>
      </c>
      <c r="C866" t="s">
        <v>843</v>
      </c>
      <c r="D866" t="s">
        <v>102</v>
      </c>
      <c r="E866" t="str">
        <f>VLOOKUP(D866,'Tên SP'!B$2:C$1070,2,0)</f>
        <v>NƯỚC GIẶT LIX HƯƠNG NƯỚC HOA 3,5KG/T04 TÚI</v>
      </c>
      <c r="F866" s="4">
        <v>88000</v>
      </c>
      <c r="G866">
        <v>1</v>
      </c>
      <c r="H866" s="4">
        <v>88000</v>
      </c>
      <c r="I866" s="4">
        <v>-4400</v>
      </c>
      <c r="J866" s="5">
        <f t="shared" si="13"/>
        <v>83600</v>
      </c>
    </row>
    <row r="867" spans="1:10" x14ac:dyDescent="0.25">
      <c r="A867" s="6">
        <v>875</v>
      </c>
      <c r="B867" t="s">
        <v>2104</v>
      </c>
      <c r="C867" t="s">
        <v>843</v>
      </c>
      <c r="D867" t="s">
        <v>102</v>
      </c>
      <c r="E867" t="str">
        <f>VLOOKUP(D867,'Tên SP'!B$2:C$1070,2,0)</f>
        <v>NƯỚC GIẶT LIX HƯƠNG NƯỚC HOA 3,5KG/T04 TÚI</v>
      </c>
      <c r="F867" s="4">
        <v>88000</v>
      </c>
      <c r="G867">
        <v>1</v>
      </c>
      <c r="H867" s="4">
        <v>88000</v>
      </c>
      <c r="I867" s="4">
        <v>-4400</v>
      </c>
      <c r="J867" s="5">
        <f t="shared" si="13"/>
        <v>83600</v>
      </c>
    </row>
    <row r="868" spans="1:10" x14ac:dyDescent="0.25">
      <c r="A868" s="6">
        <v>876</v>
      </c>
      <c r="B868" t="s">
        <v>2104</v>
      </c>
      <c r="C868" t="s">
        <v>843</v>
      </c>
      <c r="D868" t="s">
        <v>102</v>
      </c>
      <c r="E868" t="str">
        <f>VLOOKUP(D868,'Tên SP'!B$2:C$1070,2,0)</f>
        <v>NƯỚC GIẶT LIX HƯƠNG NƯỚC HOA 3,5KG/T04 TÚI</v>
      </c>
      <c r="F868" s="4">
        <v>88000</v>
      </c>
      <c r="G868">
        <v>1</v>
      </c>
      <c r="H868" s="4">
        <v>88000</v>
      </c>
      <c r="I868" s="4">
        <v>-4400</v>
      </c>
      <c r="J868" s="5">
        <f t="shared" si="13"/>
        <v>83600</v>
      </c>
    </row>
    <row r="869" spans="1:10" x14ac:dyDescent="0.25">
      <c r="A869" s="6">
        <v>877</v>
      </c>
      <c r="B869" t="s">
        <v>2105</v>
      </c>
      <c r="C869" t="s">
        <v>844</v>
      </c>
      <c r="D869" t="s">
        <v>28</v>
      </c>
      <c r="E869" t="str">
        <f>VLOOKUP(D869,'Tên SP'!B$2:C$1070,2,0)</f>
        <v>NƯỚC XẢ VẢI LIXSOFT HƯƠNG HOA HỒNG 3,6L/C04</v>
      </c>
      <c r="F869" s="4">
        <v>81000</v>
      </c>
      <c r="G869">
        <v>1</v>
      </c>
      <c r="H869" s="4">
        <v>81000</v>
      </c>
      <c r="I869" s="4">
        <v>0</v>
      </c>
      <c r="J869" s="5">
        <f t="shared" si="13"/>
        <v>81000</v>
      </c>
    </row>
    <row r="870" spans="1:10" x14ac:dyDescent="0.25">
      <c r="A870" s="6">
        <v>878</v>
      </c>
      <c r="B870" t="s">
        <v>2106</v>
      </c>
      <c r="C870" t="s">
        <v>845</v>
      </c>
      <c r="D870" t="s">
        <v>102</v>
      </c>
      <c r="E870" t="str">
        <f>VLOOKUP(D870,'Tên SP'!B$2:C$1070,2,0)</f>
        <v>NƯỚC GIẶT LIX HƯƠNG NƯỚC HOA 3,5KG/T04 TÚI</v>
      </c>
      <c r="F870" s="4">
        <v>88000</v>
      </c>
      <c r="G870">
        <v>1</v>
      </c>
      <c r="H870" s="4">
        <v>88000</v>
      </c>
      <c r="I870" s="4">
        <v>-4400</v>
      </c>
      <c r="J870" s="5">
        <f t="shared" si="13"/>
        <v>83600</v>
      </c>
    </row>
    <row r="871" spans="1:10" x14ac:dyDescent="0.25">
      <c r="A871" s="6">
        <v>879</v>
      </c>
      <c r="B871" t="s">
        <v>2106</v>
      </c>
      <c r="C871" t="s">
        <v>845</v>
      </c>
      <c r="D871" t="s">
        <v>102</v>
      </c>
      <c r="E871" t="str">
        <f>VLOOKUP(D871,'Tên SP'!B$2:C$1070,2,0)</f>
        <v>NƯỚC GIẶT LIX HƯƠNG NƯỚC HOA 3,5KG/T04 TÚI</v>
      </c>
      <c r="F871" s="4">
        <v>88000</v>
      </c>
      <c r="G871">
        <v>1</v>
      </c>
      <c r="H871" s="4">
        <v>88000</v>
      </c>
      <c r="I871" s="4">
        <v>-4400</v>
      </c>
      <c r="J871" s="5">
        <f t="shared" si="13"/>
        <v>83600</v>
      </c>
    </row>
    <row r="872" spans="1:10" x14ac:dyDescent="0.25">
      <c r="A872" s="6">
        <v>880</v>
      </c>
      <c r="B872" t="s">
        <v>2106</v>
      </c>
      <c r="C872" t="s">
        <v>845</v>
      </c>
      <c r="D872" t="s">
        <v>102</v>
      </c>
      <c r="E872" t="str">
        <f>VLOOKUP(D872,'Tên SP'!B$2:C$1070,2,0)</f>
        <v>NƯỚC GIẶT LIX HƯƠNG NƯỚC HOA 3,5KG/T04 TÚI</v>
      </c>
      <c r="F872" s="4">
        <v>88000</v>
      </c>
      <c r="G872">
        <v>1</v>
      </c>
      <c r="H872" s="4">
        <v>88000</v>
      </c>
      <c r="I872" s="4">
        <v>-4400</v>
      </c>
      <c r="J872" s="5">
        <f t="shared" si="13"/>
        <v>83600</v>
      </c>
    </row>
    <row r="873" spans="1:10" x14ac:dyDescent="0.25">
      <c r="A873" s="6">
        <v>881</v>
      </c>
      <c r="B873" t="s">
        <v>2106</v>
      </c>
      <c r="C873" t="s">
        <v>845</v>
      </c>
      <c r="D873" t="s">
        <v>28</v>
      </c>
      <c r="E873" t="str">
        <f>VLOOKUP(D873,'Tên SP'!B$2:C$1070,2,0)</f>
        <v>NƯỚC XẢ VẢI LIXSOFT HƯƠNG HOA HỒNG 3,6L/C04</v>
      </c>
      <c r="F873" s="4">
        <v>81000</v>
      </c>
      <c r="G873">
        <v>1</v>
      </c>
      <c r="H873" s="4">
        <v>81000</v>
      </c>
      <c r="I873" s="4">
        <v>-4050</v>
      </c>
      <c r="J873" s="5">
        <f t="shared" si="13"/>
        <v>76950</v>
      </c>
    </row>
    <row r="874" spans="1:10" x14ac:dyDescent="0.25">
      <c r="A874" s="6">
        <v>882</v>
      </c>
      <c r="B874" t="s">
        <v>2107</v>
      </c>
      <c r="C874" t="s">
        <v>846</v>
      </c>
      <c r="D874" t="s">
        <v>38</v>
      </c>
      <c r="E874" t="str">
        <f>VLOOKUP(D874,'Tên SP'!B$2:C$1070,2,0)</f>
        <v>BỘT GIẶT LIXE HƯƠNG NƯỚC HOA 5,5KG/03</v>
      </c>
      <c r="F874" s="4">
        <v>127600</v>
      </c>
      <c r="G874">
        <v>1</v>
      </c>
      <c r="H874" s="4">
        <v>127600</v>
      </c>
      <c r="I874" s="4">
        <v>0</v>
      </c>
      <c r="J874" s="5">
        <f t="shared" si="13"/>
        <v>127600</v>
      </c>
    </row>
    <row r="875" spans="1:10" x14ac:dyDescent="0.25">
      <c r="A875" s="6">
        <v>883</v>
      </c>
      <c r="B875" t="s">
        <v>2108</v>
      </c>
      <c r="C875" t="s">
        <v>847</v>
      </c>
      <c r="D875" t="s">
        <v>23</v>
      </c>
      <c r="E875" t="str">
        <f>VLOOKUP(D875,'Tên SP'!B$2:C$1070,2,0)</f>
        <v>NƯỚC XẢ VẢI LIXSOFT 3,6L/C04</v>
      </c>
      <c r="F875" s="4">
        <v>81000</v>
      </c>
      <c r="G875">
        <v>1</v>
      </c>
      <c r="H875" s="4">
        <v>81000</v>
      </c>
      <c r="I875" s="4">
        <v>0</v>
      </c>
      <c r="J875" s="5">
        <f t="shared" si="13"/>
        <v>81000</v>
      </c>
    </row>
    <row r="876" spans="1:10" x14ac:dyDescent="0.25">
      <c r="A876" s="6">
        <v>884</v>
      </c>
      <c r="B876" t="s">
        <v>2109</v>
      </c>
      <c r="C876" t="s">
        <v>848</v>
      </c>
      <c r="D876" t="s">
        <v>106</v>
      </c>
      <c r="E876" t="str">
        <f>VLOOKUP(D876,'Tên SP'!B$2:C$1070,2,0)</f>
        <v>NƯỚC GIẶT LIX SIÊU SẠCH HOA ANH ĐÀO 2.4KG/T06</v>
      </c>
      <c r="F876" s="4">
        <v>60800</v>
      </c>
      <c r="G876">
        <v>1</v>
      </c>
      <c r="H876" s="4">
        <v>60800</v>
      </c>
      <c r="I876" s="4">
        <v>-9120</v>
      </c>
      <c r="J876" s="5">
        <f t="shared" si="13"/>
        <v>51680</v>
      </c>
    </row>
    <row r="877" spans="1:10" x14ac:dyDescent="0.25">
      <c r="A877" s="6">
        <v>885</v>
      </c>
      <c r="B877" t="s">
        <v>2110</v>
      </c>
      <c r="C877" t="s">
        <v>849</v>
      </c>
      <c r="D877" t="s">
        <v>36</v>
      </c>
      <c r="E877" t="str">
        <f>VLOOKUP(D877,'Tên SP'!B$2:C$1070,2,0)</f>
        <v>BỘT GIẶT LIXE HƯƠNG NƯỚC HOA 7KG/02</v>
      </c>
      <c r="F877" s="4">
        <v>173600</v>
      </c>
      <c r="G877">
        <v>1</v>
      </c>
      <c r="H877" s="4">
        <v>173600</v>
      </c>
      <c r="I877" s="4">
        <v>-8680</v>
      </c>
      <c r="J877" s="5">
        <f t="shared" si="13"/>
        <v>164920</v>
      </c>
    </row>
    <row r="878" spans="1:10" x14ac:dyDescent="0.25">
      <c r="A878" s="6">
        <v>886</v>
      </c>
      <c r="B878" t="s">
        <v>2110</v>
      </c>
      <c r="C878" t="s">
        <v>849</v>
      </c>
      <c r="D878" t="s">
        <v>184</v>
      </c>
      <c r="E878" t="str">
        <f>VLOOKUP(D878,'Tên SP'!B$2:C$1070,2,0)</f>
        <v>GEL DIỆT KHUẨN TAY ON1 60ML/CH80</v>
      </c>
      <c r="F878" s="4">
        <v>22000</v>
      </c>
      <c r="G878">
        <v>1</v>
      </c>
      <c r="H878" s="4">
        <v>22000</v>
      </c>
      <c r="I878" s="4">
        <v>-22000</v>
      </c>
      <c r="J878" s="5">
        <f t="shared" si="13"/>
        <v>0</v>
      </c>
    </row>
    <row r="879" spans="1:10" x14ac:dyDescent="0.25">
      <c r="A879" s="6">
        <v>887</v>
      </c>
      <c r="B879" t="s">
        <v>2111</v>
      </c>
      <c r="C879" t="s">
        <v>850</v>
      </c>
      <c r="D879" t="s">
        <v>194</v>
      </c>
      <c r="E879" t="str">
        <f>VLOOKUP(D879,'Tên SP'!B$2:C$1070,2,0)</f>
        <v>GEL TẨY BỒN CẦU &amp; NHÀ TẮM ON1 500G/CH24</v>
      </c>
      <c r="F879" s="4">
        <v>31100</v>
      </c>
      <c r="G879">
        <v>1</v>
      </c>
      <c r="H879" s="4">
        <v>31100</v>
      </c>
      <c r="I879" s="4">
        <v>-1555</v>
      </c>
      <c r="J879" s="5">
        <f t="shared" si="13"/>
        <v>29545</v>
      </c>
    </row>
    <row r="880" spans="1:10" x14ac:dyDescent="0.25">
      <c r="A880" s="6">
        <v>888</v>
      </c>
      <c r="B880" t="s">
        <v>2111</v>
      </c>
      <c r="C880" t="s">
        <v>850</v>
      </c>
      <c r="D880" t="s">
        <v>9</v>
      </c>
      <c r="E880" t="str">
        <f>VLOOKUP(D880,'Tên SP'!B$2:C$1070,2,0)</f>
        <v>NƯỚC GIẶT LIX ĐẬM ĐẶC 3,5KG/T04 TÚI</v>
      </c>
      <c r="F880" s="4">
        <v>88000</v>
      </c>
      <c r="G880">
        <v>1</v>
      </c>
      <c r="H880" s="4">
        <v>88000</v>
      </c>
      <c r="I880" s="4">
        <v>-4400</v>
      </c>
      <c r="J880" s="5">
        <f t="shared" si="13"/>
        <v>83600</v>
      </c>
    </row>
    <row r="881" spans="1:10" x14ac:dyDescent="0.25">
      <c r="A881" s="6">
        <v>889</v>
      </c>
      <c r="B881" t="s">
        <v>2111</v>
      </c>
      <c r="C881" t="s">
        <v>850</v>
      </c>
      <c r="D881" t="s">
        <v>9</v>
      </c>
      <c r="E881" t="str">
        <f>VLOOKUP(D881,'Tên SP'!B$2:C$1070,2,0)</f>
        <v>NƯỚC GIẶT LIX ĐẬM ĐẶC 3,5KG/T04 TÚI</v>
      </c>
      <c r="F881" s="4">
        <v>88000</v>
      </c>
      <c r="G881">
        <v>1</v>
      </c>
      <c r="H881" s="4">
        <v>88000</v>
      </c>
      <c r="I881" s="4">
        <v>-4400</v>
      </c>
      <c r="J881" s="5">
        <f t="shared" si="13"/>
        <v>83600</v>
      </c>
    </row>
    <row r="882" spans="1:10" x14ac:dyDescent="0.25">
      <c r="A882" s="6">
        <v>890</v>
      </c>
      <c r="B882" t="s">
        <v>2111</v>
      </c>
      <c r="C882" t="s">
        <v>850</v>
      </c>
      <c r="D882" t="s">
        <v>9</v>
      </c>
      <c r="E882" t="str">
        <f>VLOOKUP(D882,'Tên SP'!B$2:C$1070,2,0)</f>
        <v>NƯỚC GIẶT LIX ĐẬM ĐẶC 3,5KG/T04 TÚI</v>
      </c>
      <c r="F882" s="4">
        <v>88000</v>
      </c>
      <c r="G882">
        <v>1</v>
      </c>
      <c r="H882" s="4">
        <v>88000</v>
      </c>
      <c r="I882" s="4">
        <v>-4400</v>
      </c>
      <c r="J882" s="5">
        <f t="shared" si="13"/>
        <v>83600</v>
      </c>
    </row>
    <row r="883" spans="1:10" x14ac:dyDescent="0.25">
      <c r="A883" s="6">
        <v>891</v>
      </c>
      <c r="B883" t="s">
        <v>2111</v>
      </c>
      <c r="C883" t="s">
        <v>850</v>
      </c>
      <c r="D883" t="s">
        <v>77</v>
      </c>
      <c r="E883" t="str">
        <f>VLOOKUP(D883,'Tên SP'!B$2:C$1070,2,0)</f>
        <v>NƯỚC RỬA CHÉN SIÊU SẠCH CHANH 1,4KG/C08</v>
      </c>
      <c r="F883" s="4">
        <v>39600</v>
      </c>
      <c r="G883">
        <v>1</v>
      </c>
      <c r="H883" s="4">
        <v>39600</v>
      </c>
      <c r="I883" s="4">
        <v>-1980</v>
      </c>
      <c r="J883" s="5">
        <f t="shared" si="13"/>
        <v>37620</v>
      </c>
    </row>
    <row r="884" spans="1:10" x14ac:dyDescent="0.25">
      <c r="A884" s="6">
        <v>892</v>
      </c>
      <c r="B884" t="s">
        <v>2112</v>
      </c>
      <c r="C884" t="s">
        <v>851</v>
      </c>
      <c r="D884" t="s">
        <v>102</v>
      </c>
      <c r="E884" t="str">
        <f>VLOOKUP(D884,'Tên SP'!B$2:C$1070,2,0)</f>
        <v>NƯỚC GIẶT LIX HƯƠNG NƯỚC HOA 3,5KG/T04 TÚI</v>
      </c>
      <c r="F884" s="4">
        <v>88000</v>
      </c>
      <c r="G884">
        <v>1</v>
      </c>
      <c r="H884" s="4">
        <v>88000</v>
      </c>
      <c r="I884" s="4">
        <v>-8000</v>
      </c>
      <c r="J884" s="5">
        <f t="shared" si="13"/>
        <v>80000</v>
      </c>
    </row>
    <row r="885" spans="1:10" x14ac:dyDescent="0.25">
      <c r="A885" s="6">
        <v>893</v>
      </c>
      <c r="B885" t="s">
        <v>2112</v>
      </c>
      <c r="C885" t="s">
        <v>851</v>
      </c>
      <c r="D885" t="s">
        <v>102</v>
      </c>
      <c r="E885" t="str">
        <f>VLOOKUP(D885,'Tên SP'!B$2:C$1070,2,0)</f>
        <v>NƯỚC GIẶT LIX HƯƠNG NƯỚC HOA 3,5KG/T04 TÚI</v>
      </c>
      <c r="F885" s="4">
        <v>88000</v>
      </c>
      <c r="G885">
        <v>1</v>
      </c>
      <c r="H885" s="4">
        <v>88000</v>
      </c>
      <c r="I885" s="4">
        <v>-8000</v>
      </c>
      <c r="J885" s="5">
        <f t="shared" si="13"/>
        <v>80000</v>
      </c>
    </row>
    <row r="886" spans="1:10" x14ac:dyDescent="0.25">
      <c r="A886" s="6">
        <v>894</v>
      </c>
      <c r="B886" t="s">
        <v>2112</v>
      </c>
      <c r="C886" t="s">
        <v>851</v>
      </c>
      <c r="D886" t="s">
        <v>102</v>
      </c>
      <c r="E886" t="str">
        <f>VLOOKUP(D886,'Tên SP'!B$2:C$1070,2,0)</f>
        <v>NƯỚC GIẶT LIX HƯƠNG NƯỚC HOA 3,5KG/T04 TÚI</v>
      </c>
      <c r="F886" s="4">
        <v>88000</v>
      </c>
      <c r="G886">
        <v>1</v>
      </c>
      <c r="H886" s="4">
        <v>88000</v>
      </c>
      <c r="I886" s="4">
        <v>-8000</v>
      </c>
      <c r="J886" s="5">
        <f t="shared" si="13"/>
        <v>80000</v>
      </c>
    </row>
    <row r="887" spans="1:10" x14ac:dyDescent="0.25">
      <c r="A887" s="6">
        <v>895</v>
      </c>
      <c r="B887" t="s">
        <v>2112</v>
      </c>
      <c r="C887" t="s">
        <v>851</v>
      </c>
      <c r="D887" t="s">
        <v>102</v>
      </c>
      <c r="E887" t="str">
        <f>VLOOKUP(D887,'Tên SP'!B$2:C$1070,2,0)</f>
        <v>NƯỚC GIẶT LIX HƯƠNG NƯỚC HOA 3,5KG/T04 TÚI</v>
      </c>
      <c r="F887" s="4">
        <v>88000</v>
      </c>
      <c r="G887">
        <v>1</v>
      </c>
      <c r="H887" s="4">
        <v>88000</v>
      </c>
      <c r="I887" s="4">
        <v>-8000</v>
      </c>
      <c r="J887" s="5">
        <f t="shared" si="13"/>
        <v>80000</v>
      </c>
    </row>
    <row r="888" spans="1:10" x14ac:dyDescent="0.25">
      <c r="A888" s="6">
        <v>896</v>
      </c>
      <c r="B888" t="s">
        <v>2112</v>
      </c>
      <c r="C888" t="s">
        <v>851</v>
      </c>
      <c r="D888" t="s">
        <v>102</v>
      </c>
      <c r="E888" t="str">
        <f>VLOOKUP(D888,'Tên SP'!B$2:C$1070,2,0)</f>
        <v>NƯỚC GIẶT LIX HƯƠNG NƯỚC HOA 3,5KG/T04 TÚI</v>
      </c>
      <c r="F888" s="4">
        <v>88000</v>
      </c>
      <c r="G888">
        <v>1</v>
      </c>
      <c r="H888" s="4">
        <v>88000</v>
      </c>
      <c r="I888" s="4">
        <v>-8000</v>
      </c>
      <c r="J888" s="5">
        <f t="shared" si="13"/>
        <v>80000</v>
      </c>
    </row>
    <row r="889" spans="1:10" x14ac:dyDescent="0.25">
      <c r="A889" s="6">
        <v>897</v>
      </c>
      <c r="B889" t="s">
        <v>2113</v>
      </c>
      <c r="C889" t="s">
        <v>852</v>
      </c>
      <c r="D889" t="s">
        <v>28</v>
      </c>
      <c r="E889" t="str">
        <f>VLOOKUP(D889,'Tên SP'!B$2:C$1070,2,0)</f>
        <v>NƯỚC XẢ VẢI LIXSOFT HƯƠNG HOA HỒNG 3,6L/C04</v>
      </c>
      <c r="F889" s="4">
        <v>81000</v>
      </c>
      <c r="G889">
        <v>1</v>
      </c>
      <c r="H889" s="4">
        <v>81000</v>
      </c>
      <c r="I889" s="4">
        <v>-12150</v>
      </c>
      <c r="J889" s="5">
        <f t="shared" si="13"/>
        <v>68850</v>
      </c>
    </row>
    <row r="890" spans="1:10" x14ac:dyDescent="0.25">
      <c r="A890" s="6">
        <v>898</v>
      </c>
      <c r="B890" t="s">
        <v>2114</v>
      </c>
      <c r="C890" t="s">
        <v>853</v>
      </c>
      <c r="D890" t="s">
        <v>166</v>
      </c>
      <c r="E890" t="str">
        <f>VLOOKUP(D890,'Tên SP'!B$2:C$1070,2,0)</f>
        <v xml:space="preserve">NƯỚC TẨY QUẦN ÁO MÀU ON1 PURPLE FRESHNES 800G/CH12 </v>
      </c>
      <c r="F890" s="4">
        <v>40000</v>
      </c>
      <c r="G890">
        <v>1</v>
      </c>
      <c r="H890" s="4">
        <v>40000</v>
      </c>
      <c r="I890" s="4">
        <v>-2000</v>
      </c>
      <c r="J890" s="5">
        <f t="shared" ref="J890:J953" si="14">H890+I890</f>
        <v>38000</v>
      </c>
    </row>
    <row r="891" spans="1:10" x14ac:dyDescent="0.25">
      <c r="A891" s="6">
        <v>899</v>
      </c>
      <c r="B891" t="s">
        <v>2114</v>
      </c>
      <c r="C891" t="s">
        <v>853</v>
      </c>
      <c r="D891" t="s">
        <v>166</v>
      </c>
      <c r="E891" t="str">
        <f>VLOOKUP(D891,'Tên SP'!B$2:C$1070,2,0)</f>
        <v xml:space="preserve">NƯỚC TẨY QUẦN ÁO MÀU ON1 PURPLE FRESHNES 800G/CH12 </v>
      </c>
      <c r="F891" s="4">
        <v>40000</v>
      </c>
      <c r="G891">
        <v>1</v>
      </c>
      <c r="H891" s="4">
        <v>40000</v>
      </c>
      <c r="I891" s="4">
        <v>-2000</v>
      </c>
      <c r="J891" s="5">
        <f t="shared" si="14"/>
        <v>38000</v>
      </c>
    </row>
    <row r="892" spans="1:10" x14ac:dyDescent="0.25">
      <c r="A892" s="6">
        <v>900</v>
      </c>
      <c r="B892" t="s">
        <v>2115</v>
      </c>
      <c r="C892" t="s">
        <v>854</v>
      </c>
      <c r="D892" t="s">
        <v>106</v>
      </c>
      <c r="E892" t="str">
        <f>VLOOKUP(D892,'Tên SP'!B$2:C$1070,2,0)</f>
        <v>NƯỚC GIẶT LIX SIÊU SẠCH HOA ANH ĐÀO 2.4KG/T06</v>
      </c>
      <c r="F892" s="4">
        <v>60800</v>
      </c>
      <c r="G892">
        <v>1</v>
      </c>
      <c r="H892" s="4">
        <v>60800</v>
      </c>
      <c r="I892" s="4">
        <v>0</v>
      </c>
      <c r="J892" s="5">
        <f t="shared" si="14"/>
        <v>60800</v>
      </c>
    </row>
    <row r="893" spans="1:10" x14ac:dyDescent="0.25">
      <c r="A893" s="6">
        <v>901</v>
      </c>
      <c r="B893" t="s">
        <v>2116</v>
      </c>
      <c r="C893" t="s">
        <v>855</v>
      </c>
      <c r="D893" t="s">
        <v>64</v>
      </c>
      <c r="E893" t="str">
        <f>VLOOKUP(D893,'Tên SP'!B$2:C$1070,2,0)</f>
        <v>BỘT GIẶT LIX DD HƯƠNG NƯỚC HOA 5,5KG/03</v>
      </c>
      <c r="F893" s="4">
        <v>147700</v>
      </c>
      <c r="G893">
        <v>1</v>
      </c>
      <c r="H893" s="4">
        <v>147700</v>
      </c>
      <c r="I893" s="4">
        <v>-7385</v>
      </c>
      <c r="J893" s="5">
        <f t="shared" si="14"/>
        <v>140315</v>
      </c>
    </row>
    <row r="894" spans="1:10" x14ac:dyDescent="0.25">
      <c r="A894" s="6">
        <v>902</v>
      </c>
      <c r="B894" t="s">
        <v>2116</v>
      </c>
      <c r="C894" t="s">
        <v>855</v>
      </c>
      <c r="D894" t="s">
        <v>102</v>
      </c>
      <c r="E894" t="str">
        <f>VLOOKUP(D894,'Tên SP'!B$2:C$1070,2,0)</f>
        <v>NƯỚC GIẶT LIX HƯƠNG NƯỚC HOA 3,5KG/T04 TÚI</v>
      </c>
      <c r="F894" s="4">
        <v>88000</v>
      </c>
      <c r="G894">
        <v>1</v>
      </c>
      <c r="H894" s="4">
        <v>88000</v>
      </c>
      <c r="I894" s="4">
        <v>-4400</v>
      </c>
      <c r="J894" s="5">
        <f t="shared" si="14"/>
        <v>83600</v>
      </c>
    </row>
    <row r="895" spans="1:10" x14ac:dyDescent="0.25">
      <c r="A895" s="6">
        <v>903</v>
      </c>
      <c r="B895" t="s">
        <v>2116</v>
      </c>
      <c r="C895" t="s">
        <v>855</v>
      </c>
      <c r="D895" t="s">
        <v>9</v>
      </c>
      <c r="E895" t="str">
        <f>VLOOKUP(D895,'Tên SP'!B$2:C$1070,2,0)</f>
        <v>NƯỚC GIẶT LIX ĐẬM ĐẶC 3,5KG/T04 TÚI</v>
      </c>
      <c r="F895" s="4">
        <v>88000</v>
      </c>
      <c r="G895">
        <v>1</v>
      </c>
      <c r="H895" s="4">
        <v>88000</v>
      </c>
      <c r="I895" s="4">
        <v>-4400</v>
      </c>
      <c r="J895" s="5">
        <f t="shared" si="14"/>
        <v>83600</v>
      </c>
    </row>
    <row r="896" spans="1:10" x14ac:dyDescent="0.25">
      <c r="A896" s="6">
        <v>904</v>
      </c>
      <c r="B896" t="s">
        <v>2117</v>
      </c>
      <c r="C896" t="s">
        <v>856</v>
      </c>
      <c r="D896" t="s">
        <v>9</v>
      </c>
      <c r="E896" t="str">
        <f>VLOOKUP(D896,'Tên SP'!B$2:C$1070,2,0)</f>
        <v>NƯỚC GIẶT LIX ĐẬM ĐẶC 3,5KG/T04 TÚI</v>
      </c>
      <c r="F896" s="4">
        <v>88000</v>
      </c>
      <c r="G896">
        <v>1</v>
      </c>
      <c r="H896" s="4">
        <v>88000</v>
      </c>
      <c r="I896" s="4">
        <v>0</v>
      </c>
      <c r="J896" s="5">
        <f t="shared" si="14"/>
        <v>88000</v>
      </c>
    </row>
    <row r="897" spans="1:10" x14ac:dyDescent="0.25">
      <c r="A897" s="6">
        <v>905</v>
      </c>
      <c r="B897" t="s">
        <v>2118</v>
      </c>
      <c r="C897" t="s">
        <v>857</v>
      </c>
      <c r="D897" t="s">
        <v>102</v>
      </c>
      <c r="E897" t="str">
        <f>VLOOKUP(D897,'Tên SP'!B$2:C$1070,2,0)</f>
        <v>NƯỚC GIẶT LIX HƯƠNG NƯỚC HOA 3,5KG/T04 TÚI</v>
      </c>
      <c r="F897" s="4">
        <v>88000</v>
      </c>
      <c r="G897">
        <v>1</v>
      </c>
      <c r="H897" s="4">
        <v>88000</v>
      </c>
      <c r="I897" s="4">
        <v>-9259</v>
      </c>
      <c r="J897" s="5">
        <f t="shared" si="14"/>
        <v>78741</v>
      </c>
    </row>
    <row r="898" spans="1:10" x14ac:dyDescent="0.25">
      <c r="A898" s="6">
        <v>906</v>
      </c>
      <c r="B898" t="s">
        <v>2118</v>
      </c>
      <c r="C898" t="s">
        <v>857</v>
      </c>
      <c r="D898" t="s">
        <v>102</v>
      </c>
      <c r="E898" t="str">
        <f>VLOOKUP(D898,'Tên SP'!B$2:C$1070,2,0)</f>
        <v>NƯỚC GIẶT LIX HƯƠNG NƯỚC HOA 3,5KG/T04 TÚI</v>
      </c>
      <c r="F898" s="4">
        <v>88000</v>
      </c>
      <c r="G898">
        <v>1</v>
      </c>
      <c r="H898" s="4">
        <v>88000</v>
      </c>
      <c r="I898" s="4">
        <v>-9260</v>
      </c>
      <c r="J898" s="5">
        <f t="shared" si="14"/>
        <v>78740</v>
      </c>
    </row>
    <row r="899" spans="1:10" x14ac:dyDescent="0.25">
      <c r="A899" s="6">
        <v>907</v>
      </c>
      <c r="B899" t="s">
        <v>2118</v>
      </c>
      <c r="C899" t="s">
        <v>857</v>
      </c>
      <c r="D899" t="s">
        <v>102</v>
      </c>
      <c r="E899" t="str">
        <f>VLOOKUP(D899,'Tên SP'!B$2:C$1070,2,0)</f>
        <v>NƯỚC GIẶT LIX HƯƠNG NƯỚC HOA 3,5KG/T04 TÚI</v>
      </c>
      <c r="F899" s="4">
        <v>88000</v>
      </c>
      <c r="G899">
        <v>1</v>
      </c>
      <c r="H899" s="4">
        <v>88000</v>
      </c>
      <c r="I899" s="4">
        <v>-9259</v>
      </c>
      <c r="J899" s="5">
        <f t="shared" si="14"/>
        <v>78741</v>
      </c>
    </row>
    <row r="900" spans="1:10" x14ac:dyDescent="0.25">
      <c r="A900" s="6">
        <v>908</v>
      </c>
      <c r="B900" t="s">
        <v>2118</v>
      </c>
      <c r="C900" t="s">
        <v>857</v>
      </c>
      <c r="D900" t="s">
        <v>97</v>
      </c>
      <c r="E900" t="str">
        <f>VLOOKUP(D900,'Tên SP'!B$2:C$1070,2,0)</f>
        <v>NƯỚC GIẶT LIX ĐẬM ĐẶC 3,6KG/C04</v>
      </c>
      <c r="F900" s="4">
        <v>105600</v>
      </c>
      <c r="G900">
        <v>1</v>
      </c>
      <c r="H900" s="4">
        <v>105600</v>
      </c>
      <c r="I900" s="4">
        <v>-11111</v>
      </c>
      <c r="J900" s="5">
        <f t="shared" si="14"/>
        <v>94489</v>
      </c>
    </row>
    <row r="901" spans="1:10" x14ac:dyDescent="0.25">
      <c r="A901" s="6">
        <v>909</v>
      </c>
      <c r="B901" t="s">
        <v>2118</v>
      </c>
      <c r="C901" t="s">
        <v>857</v>
      </c>
      <c r="D901" t="s">
        <v>97</v>
      </c>
      <c r="E901" t="str">
        <f>VLOOKUP(D901,'Tên SP'!B$2:C$1070,2,0)</f>
        <v>NƯỚC GIẶT LIX ĐẬM ĐẶC 3,6KG/C04</v>
      </c>
      <c r="F901" s="4">
        <v>105600</v>
      </c>
      <c r="G901">
        <v>1</v>
      </c>
      <c r="H901" s="4">
        <v>105600</v>
      </c>
      <c r="I901" s="4">
        <v>-11111</v>
      </c>
      <c r="J901" s="5">
        <f t="shared" si="14"/>
        <v>94489</v>
      </c>
    </row>
    <row r="902" spans="1:10" x14ac:dyDescent="0.25">
      <c r="A902" s="6">
        <v>910</v>
      </c>
      <c r="B902" t="s">
        <v>2119</v>
      </c>
      <c r="C902" t="s">
        <v>858</v>
      </c>
      <c r="D902" t="s">
        <v>102</v>
      </c>
      <c r="E902" t="str">
        <f>VLOOKUP(D902,'Tên SP'!B$2:C$1070,2,0)</f>
        <v>NƯỚC GIẶT LIX HƯƠNG NƯỚC HOA 3,5KG/T04 TÚI</v>
      </c>
      <c r="F902" s="4">
        <v>88000</v>
      </c>
      <c r="G902">
        <v>1</v>
      </c>
      <c r="H902" s="4">
        <v>88000</v>
      </c>
      <c r="I902" s="4">
        <v>0</v>
      </c>
      <c r="J902" s="5">
        <f t="shared" si="14"/>
        <v>88000</v>
      </c>
    </row>
    <row r="903" spans="1:10" x14ac:dyDescent="0.25">
      <c r="A903" s="6">
        <v>911</v>
      </c>
      <c r="B903" t="s">
        <v>2120</v>
      </c>
      <c r="C903" t="s">
        <v>859</v>
      </c>
      <c r="D903" t="s">
        <v>9</v>
      </c>
      <c r="E903" t="str">
        <f>VLOOKUP(D903,'Tên SP'!B$2:C$1070,2,0)</f>
        <v>NƯỚC GIẶT LIX ĐẬM ĐẶC 3,5KG/T04 TÚI</v>
      </c>
      <c r="F903" s="4">
        <v>88000</v>
      </c>
      <c r="G903">
        <v>1</v>
      </c>
      <c r="H903" s="4">
        <v>88000</v>
      </c>
      <c r="I903" s="4">
        <v>-4400</v>
      </c>
      <c r="J903" s="5">
        <f t="shared" si="14"/>
        <v>83600</v>
      </c>
    </row>
    <row r="904" spans="1:10" x14ac:dyDescent="0.25">
      <c r="A904" s="6">
        <v>912</v>
      </c>
      <c r="B904" t="s">
        <v>2120</v>
      </c>
      <c r="C904" t="s">
        <v>859</v>
      </c>
      <c r="D904" t="s">
        <v>9</v>
      </c>
      <c r="E904" t="str">
        <f>VLOOKUP(D904,'Tên SP'!B$2:C$1070,2,0)</f>
        <v>NƯỚC GIẶT LIX ĐẬM ĐẶC 3,5KG/T04 TÚI</v>
      </c>
      <c r="F904" s="4">
        <v>88000</v>
      </c>
      <c r="G904">
        <v>1</v>
      </c>
      <c r="H904" s="4">
        <v>88000</v>
      </c>
      <c r="I904" s="4">
        <v>-4400</v>
      </c>
      <c r="J904" s="5">
        <f t="shared" si="14"/>
        <v>83600</v>
      </c>
    </row>
    <row r="905" spans="1:10" x14ac:dyDescent="0.25">
      <c r="A905" s="6">
        <v>913</v>
      </c>
      <c r="B905" t="s">
        <v>2121</v>
      </c>
      <c r="C905" t="s">
        <v>860</v>
      </c>
      <c r="D905" t="s">
        <v>102</v>
      </c>
      <c r="E905" t="str">
        <f>VLOOKUP(D905,'Tên SP'!B$2:C$1070,2,0)</f>
        <v>NƯỚC GIẶT LIX HƯƠNG NƯỚC HOA 3,5KG/T04 TÚI</v>
      </c>
      <c r="F905" s="4">
        <v>88000</v>
      </c>
      <c r="G905">
        <v>1</v>
      </c>
      <c r="H905" s="4">
        <v>88000</v>
      </c>
      <c r="I905" s="4">
        <v>-4400</v>
      </c>
      <c r="J905" s="5">
        <f t="shared" si="14"/>
        <v>83600</v>
      </c>
    </row>
    <row r="906" spans="1:10" x14ac:dyDescent="0.25">
      <c r="A906" s="6">
        <v>914</v>
      </c>
      <c r="B906" t="s">
        <v>2121</v>
      </c>
      <c r="C906" t="s">
        <v>860</v>
      </c>
      <c r="D906" t="s">
        <v>102</v>
      </c>
      <c r="E906" t="str">
        <f>VLOOKUP(D906,'Tên SP'!B$2:C$1070,2,0)</f>
        <v>NƯỚC GIẶT LIX HƯƠNG NƯỚC HOA 3,5KG/T04 TÚI</v>
      </c>
      <c r="F906" s="4">
        <v>88000</v>
      </c>
      <c r="G906">
        <v>1</v>
      </c>
      <c r="H906" s="4">
        <v>88000</v>
      </c>
      <c r="I906" s="4">
        <v>-4400</v>
      </c>
      <c r="J906" s="5">
        <f t="shared" si="14"/>
        <v>83600</v>
      </c>
    </row>
    <row r="907" spans="1:10" x14ac:dyDescent="0.25">
      <c r="A907" s="6">
        <v>915</v>
      </c>
      <c r="B907" t="s">
        <v>2121</v>
      </c>
      <c r="C907" t="s">
        <v>860</v>
      </c>
      <c r="D907" t="s">
        <v>102</v>
      </c>
      <c r="E907" t="str">
        <f>VLOOKUP(D907,'Tên SP'!B$2:C$1070,2,0)</f>
        <v>NƯỚC GIẶT LIX HƯƠNG NƯỚC HOA 3,5KG/T04 TÚI</v>
      </c>
      <c r="F907" s="4">
        <v>88000</v>
      </c>
      <c r="G907">
        <v>1</v>
      </c>
      <c r="H907" s="4">
        <v>88000</v>
      </c>
      <c r="I907" s="4">
        <v>-4400</v>
      </c>
      <c r="J907" s="5">
        <f t="shared" si="14"/>
        <v>83600</v>
      </c>
    </row>
    <row r="908" spans="1:10" x14ac:dyDescent="0.25">
      <c r="A908" s="6">
        <v>916</v>
      </c>
      <c r="B908" t="s">
        <v>2121</v>
      </c>
      <c r="C908" t="s">
        <v>860</v>
      </c>
      <c r="D908" t="s">
        <v>102</v>
      </c>
      <c r="E908" t="str">
        <f>VLOOKUP(D908,'Tên SP'!B$2:C$1070,2,0)</f>
        <v>NƯỚC GIẶT LIX HƯƠNG NƯỚC HOA 3,5KG/T04 TÚI</v>
      </c>
      <c r="F908" s="4">
        <v>88000</v>
      </c>
      <c r="G908">
        <v>1</v>
      </c>
      <c r="H908" s="4">
        <v>88000</v>
      </c>
      <c r="I908" s="4">
        <v>-4400</v>
      </c>
      <c r="J908" s="5">
        <f t="shared" si="14"/>
        <v>83600</v>
      </c>
    </row>
    <row r="909" spans="1:10" x14ac:dyDescent="0.25">
      <c r="A909" s="6">
        <v>917</v>
      </c>
      <c r="B909" t="s">
        <v>2122</v>
      </c>
      <c r="C909" t="s">
        <v>861</v>
      </c>
      <c r="D909" t="s">
        <v>64</v>
      </c>
      <c r="E909" t="str">
        <f>VLOOKUP(D909,'Tên SP'!B$2:C$1070,2,0)</f>
        <v>BỘT GIẶT LIX DD HƯƠNG NƯỚC HOA 5,5KG/03</v>
      </c>
      <c r="F909" s="4">
        <v>147700</v>
      </c>
      <c r="G909">
        <v>1</v>
      </c>
      <c r="H909" s="4">
        <v>147700</v>
      </c>
      <c r="I909" s="4">
        <v>-10000</v>
      </c>
      <c r="J909" s="5">
        <f t="shared" si="14"/>
        <v>137700</v>
      </c>
    </row>
    <row r="910" spans="1:10" x14ac:dyDescent="0.25">
      <c r="A910" s="6">
        <v>918</v>
      </c>
      <c r="B910" t="s">
        <v>2123</v>
      </c>
      <c r="C910" t="s">
        <v>862</v>
      </c>
      <c r="D910" t="s">
        <v>23</v>
      </c>
      <c r="E910" t="str">
        <f>VLOOKUP(D910,'Tên SP'!B$2:C$1070,2,0)</f>
        <v>NƯỚC XẢ VẢI LIXSOFT 3,6L/C04</v>
      </c>
      <c r="F910" s="4">
        <v>81000</v>
      </c>
      <c r="G910">
        <v>1</v>
      </c>
      <c r="H910" s="4">
        <v>81000</v>
      </c>
      <c r="I910" s="4">
        <v>-4050</v>
      </c>
      <c r="J910" s="5">
        <f t="shared" si="14"/>
        <v>76950</v>
      </c>
    </row>
    <row r="911" spans="1:10" x14ac:dyDescent="0.25">
      <c r="A911" s="6">
        <v>919</v>
      </c>
      <c r="B911" t="s">
        <v>2123</v>
      </c>
      <c r="C911" t="s">
        <v>862</v>
      </c>
      <c r="D911" t="s">
        <v>23</v>
      </c>
      <c r="E911" t="str">
        <f>VLOOKUP(D911,'Tên SP'!B$2:C$1070,2,0)</f>
        <v>NƯỚC XẢ VẢI LIXSOFT 3,6L/C04</v>
      </c>
      <c r="F911" s="4">
        <v>81000</v>
      </c>
      <c r="G911">
        <v>1</v>
      </c>
      <c r="H911" s="4">
        <v>81000</v>
      </c>
      <c r="I911" s="4">
        <v>-4050</v>
      </c>
      <c r="J911" s="5">
        <f t="shared" si="14"/>
        <v>76950</v>
      </c>
    </row>
    <row r="912" spans="1:10" x14ac:dyDescent="0.25">
      <c r="A912" s="6">
        <v>920</v>
      </c>
      <c r="B912" t="s">
        <v>2124</v>
      </c>
      <c r="C912" t="s">
        <v>863</v>
      </c>
      <c r="D912" t="s">
        <v>9</v>
      </c>
      <c r="E912" t="str">
        <f>VLOOKUP(D912,'Tên SP'!B$2:C$1070,2,0)</f>
        <v>NƯỚC GIẶT LIX ĐẬM ĐẶC 3,5KG/T04 TÚI</v>
      </c>
      <c r="F912" s="4">
        <v>88000</v>
      </c>
      <c r="G912">
        <v>1</v>
      </c>
      <c r="H912" s="4">
        <v>88000</v>
      </c>
      <c r="I912" s="4">
        <v>0</v>
      </c>
      <c r="J912" s="5">
        <f t="shared" si="14"/>
        <v>88000</v>
      </c>
    </row>
    <row r="913" spans="1:10" x14ac:dyDescent="0.25">
      <c r="A913" s="6">
        <v>921</v>
      </c>
      <c r="B913" t="s">
        <v>2125</v>
      </c>
      <c r="C913" t="s">
        <v>864</v>
      </c>
      <c r="D913" t="s">
        <v>102</v>
      </c>
      <c r="E913" t="str">
        <f>VLOOKUP(D913,'Tên SP'!B$2:C$1070,2,0)</f>
        <v>NƯỚC GIẶT LIX HƯƠNG NƯỚC HOA 3,5KG/T04 TÚI</v>
      </c>
      <c r="F913" s="4">
        <v>88000</v>
      </c>
      <c r="G913">
        <v>1</v>
      </c>
      <c r="H913" s="4">
        <v>88000</v>
      </c>
      <c r="I913" s="4">
        <v>-10000</v>
      </c>
      <c r="J913" s="5">
        <f t="shared" si="14"/>
        <v>78000</v>
      </c>
    </row>
    <row r="914" spans="1:10" x14ac:dyDescent="0.25">
      <c r="A914" s="6">
        <v>922</v>
      </c>
      <c r="B914" t="s">
        <v>2126</v>
      </c>
      <c r="C914" t="s">
        <v>865</v>
      </c>
      <c r="D914" t="s">
        <v>9</v>
      </c>
      <c r="E914" t="str">
        <f>VLOOKUP(D914,'Tên SP'!B$2:C$1070,2,0)</f>
        <v>NƯỚC GIẶT LIX ĐẬM ĐẶC 3,5KG/T04 TÚI</v>
      </c>
      <c r="F914" s="4">
        <v>88000</v>
      </c>
      <c r="G914">
        <v>1</v>
      </c>
      <c r="H914" s="4">
        <v>88000</v>
      </c>
      <c r="I914" s="4">
        <v>0</v>
      </c>
      <c r="J914" s="5">
        <f t="shared" si="14"/>
        <v>88000</v>
      </c>
    </row>
    <row r="915" spans="1:10" x14ac:dyDescent="0.25">
      <c r="A915" s="6">
        <v>923</v>
      </c>
      <c r="B915" t="s">
        <v>2127</v>
      </c>
      <c r="C915" t="s">
        <v>866</v>
      </c>
      <c r="D915" t="s">
        <v>9</v>
      </c>
      <c r="E915" t="str">
        <f>VLOOKUP(D915,'Tên SP'!B$2:C$1070,2,0)</f>
        <v>NƯỚC GIẶT LIX ĐẬM ĐẶC 3,5KG/T04 TÚI</v>
      </c>
      <c r="F915" s="4">
        <v>88000</v>
      </c>
      <c r="G915">
        <v>1</v>
      </c>
      <c r="H915" s="4">
        <v>88000</v>
      </c>
      <c r="I915" s="4">
        <v>0</v>
      </c>
      <c r="J915" s="5">
        <f t="shared" si="14"/>
        <v>88000</v>
      </c>
    </row>
    <row r="916" spans="1:10" x14ac:dyDescent="0.25">
      <c r="A916" s="6">
        <v>924</v>
      </c>
      <c r="B916" t="s">
        <v>2128</v>
      </c>
      <c r="C916" t="s">
        <v>867</v>
      </c>
      <c r="D916" t="s">
        <v>69</v>
      </c>
      <c r="E916" t="str">
        <f>VLOOKUP(D916,'Tên SP'!B$2:C$1070,2,0)</f>
        <v>BỘT GIẶT LIX DD HƯƠNG NƯỚC HOA 400G/24</v>
      </c>
      <c r="F916" s="4">
        <v>16900</v>
      </c>
      <c r="G916">
        <v>1</v>
      </c>
      <c r="H916" s="4">
        <v>16900</v>
      </c>
      <c r="I916" s="4">
        <v>-8000</v>
      </c>
      <c r="J916" s="5">
        <f t="shared" si="14"/>
        <v>8900</v>
      </c>
    </row>
    <row r="917" spans="1:10" x14ac:dyDescent="0.25">
      <c r="A917" s="6">
        <v>925</v>
      </c>
      <c r="B917" t="s">
        <v>2129</v>
      </c>
      <c r="C917" t="s">
        <v>868</v>
      </c>
      <c r="D917" t="s">
        <v>102</v>
      </c>
      <c r="E917" t="str">
        <f>VLOOKUP(D917,'Tên SP'!B$2:C$1070,2,0)</f>
        <v>NƯỚC GIẶT LIX HƯƠNG NƯỚC HOA 3,5KG/T04 TÚI</v>
      </c>
      <c r="F917" s="4">
        <v>88000</v>
      </c>
      <c r="G917">
        <v>1</v>
      </c>
      <c r="H917" s="4">
        <v>88000</v>
      </c>
      <c r="I917" s="4">
        <v>0</v>
      </c>
      <c r="J917" s="5">
        <f t="shared" si="14"/>
        <v>88000</v>
      </c>
    </row>
    <row r="918" spans="1:10" x14ac:dyDescent="0.25">
      <c r="A918" s="6">
        <v>926</v>
      </c>
      <c r="B918" t="s">
        <v>2130</v>
      </c>
      <c r="C918" t="s">
        <v>869</v>
      </c>
      <c r="D918" t="s">
        <v>9</v>
      </c>
      <c r="E918" t="str">
        <f>VLOOKUP(D918,'Tên SP'!B$2:C$1070,2,0)</f>
        <v>NƯỚC GIẶT LIX ĐẬM ĐẶC 3,5KG/T04 TÚI</v>
      </c>
      <c r="F918" s="4">
        <v>88000</v>
      </c>
      <c r="G918">
        <v>1</v>
      </c>
      <c r="H918" s="4">
        <v>88000</v>
      </c>
      <c r="I918" s="4">
        <v>0</v>
      </c>
      <c r="J918" s="5">
        <f t="shared" si="14"/>
        <v>88000</v>
      </c>
    </row>
    <row r="919" spans="1:10" x14ac:dyDescent="0.25">
      <c r="A919" s="6">
        <v>927</v>
      </c>
      <c r="B919" t="s">
        <v>2131</v>
      </c>
      <c r="C919" t="s">
        <v>870</v>
      </c>
      <c r="D919" t="s">
        <v>23</v>
      </c>
      <c r="E919" t="str">
        <f>VLOOKUP(D919,'Tên SP'!B$2:C$1070,2,0)</f>
        <v>NƯỚC XẢ VẢI LIXSOFT 3,6L/C04</v>
      </c>
      <c r="F919" s="4">
        <v>81000</v>
      </c>
      <c r="G919">
        <v>1</v>
      </c>
      <c r="H919" s="4">
        <v>81000</v>
      </c>
      <c r="I919" s="4">
        <v>-2171</v>
      </c>
      <c r="J919" s="5">
        <f t="shared" si="14"/>
        <v>78829</v>
      </c>
    </row>
    <row r="920" spans="1:10" x14ac:dyDescent="0.25">
      <c r="A920" s="6">
        <v>928</v>
      </c>
      <c r="B920" t="s">
        <v>2131</v>
      </c>
      <c r="C920" t="s">
        <v>870</v>
      </c>
      <c r="D920" t="s">
        <v>23</v>
      </c>
      <c r="E920" t="str">
        <f>VLOOKUP(D920,'Tên SP'!B$2:C$1070,2,0)</f>
        <v>NƯỚC XẢ VẢI LIXSOFT 3,6L/C04</v>
      </c>
      <c r="F920" s="4">
        <v>81000</v>
      </c>
      <c r="G920">
        <v>1</v>
      </c>
      <c r="H920" s="4">
        <v>81000</v>
      </c>
      <c r="I920" s="4">
        <v>-2170</v>
      </c>
      <c r="J920" s="5">
        <f t="shared" si="14"/>
        <v>78830</v>
      </c>
    </row>
    <row r="921" spans="1:10" x14ac:dyDescent="0.25">
      <c r="A921" s="6">
        <v>929</v>
      </c>
      <c r="B921" t="s">
        <v>2131</v>
      </c>
      <c r="C921" t="s">
        <v>870</v>
      </c>
      <c r="D921" t="s">
        <v>97</v>
      </c>
      <c r="E921" t="str">
        <f>VLOOKUP(D921,'Tên SP'!B$2:C$1070,2,0)</f>
        <v>NƯỚC GIẶT LIX ĐẬM ĐẶC 3,6KG/C04</v>
      </c>
      <c r="F921" s="4">
        <v>105600</v>
      </c>
      <c r="G921">
        <v>1</v>
      </c>
      <c r="H921" s="4">
        <v>105600</v>
      </c>
      <c r="I921" s="4">
        <v>-2830</v>
      </c>
      <c r="J921" s="5">
        <f t="shared" si="14"/>
        <v>102770</v>
      </c>
    </row>
    <row r="922" spans="1:10" x14ac:dyDescent="0.25">
      <c r="A922" s="6">
        <v>930</v>
      </c>
      <c r="B922" t="s">
        <v>2131</v>
      </c>
      <c r="C922" t="s">
        <v>870</v>
      </c>
      <c r="D922" t="s">
        <v>97</v>
      </c>
      <c r="E922" t="str">
        <f>VLOOKUP(D922,'Tên SP'!B$2:C$1070,2,0)</f>
        <v>NƯỚC GIẶT LIX ĐẬM ĐẶC 3,6KG/C04</v>
      </c>
      <c r="F922" s="4">
        <v>105600</v>
      </c>
      <c r="G922">
        <v>1</v>
      </c>
      <c r="H922" s="4">
        <v>105600</v>
      </c>
      <c r="I922" s="4">
        <v>-2829</v>
      </c>
      <c r="J922" s="5">
        <f t="shared" si="14"/>
        <v>102771</v>
      </c>
    </row>
    <row r="923" spans="1:10" x14ac:dyDescent="0.25">
      <c r="A923" s="6">
        <v>931</v>
      </c>
      <c r="B923" t="s">
        <v>2132</v>
      </c>
      <c r="C923" t="s">
        <v>871</v>
      </c>
      <c r="D923" t="s">
        <v>28</v>
      </c>
      <c r="E923" t="str">
        <f>VLOOKUP(D923,'Tên SP'!B$2:C$1070,2,0)</f>
        <v>NƯỚC XẢ VẢI LIXSOFT HƯƠNG HOA HỒNG 3,6L/C04</v>
      </c>
      <c r="F923" s="4">
        <v>81000</v>
      </c>
      <c r="G923">
        <v>1</v>
      </c>
      <c r="H923" s="4">
        <v>81000</v>
      </c>
      <c r="I923" s="4">
        <v>-10000</v>
      </c>
      <c r="J923" s="5">
        <f t="shared" si="14"/>
        <v>71000</v>
      </c>
    </row>
    <row r="924" spans="1:10" x14ac:dyDescent="0.25">
      <c r="A924" s="6">
        <v>932</v>
      </c>
      <c r="B924" t="s">
        <v>2133</v>
      </c>
      <c r="C924" t="s">
        <v>872</v>
      </c>
      <c r="D924" t="s">
        <v>9</v>
      </c>
      <c r="E924" t="str">
        <f>VLOOKUP(D924,'Tên SP'!B$2:C$1070,2,0)</f>
        <v>NƯỚC GIẶT LIX ĐẬM ĐẶC 3,5KG/T04 TÚI</v>
      </c>
      <c r="F924" s="4">
        <v>88000</v>
      </c>
      <c r="G924">
        <v>1</v>
      </c>
      <c r="H924" s="4">
        <v>88000</v>
      </c>
      <c r="I924" s="4">
        <v>-10000</v>
      </c>
      <c r="J924" s="5">
        <f t="shared" si="14"/>
        <v>78000</v>
      </c>
    </row>
    <row r="925" spans="1:10" x14ac:dyDescent="0.25">
      <c r="A925" s="6">
        <v>933</v>
      </c>
      <c r="B925" t="s">
        <v>2134</v>
      </c>
      <c r="C925" t="s">
        <v>873</v>
      </c>
      <c r="D925" t="s">
        <v>81</v>
      </c>
      <c r="E925" t="str">
        <f>VLOOKUP(D925,'Tên SP'!B$2:C$1070,2,0)</f>
        <v>NƯỚC RỬA CHÉN SIÊU SẠCH TRÀ 3,5KG/T04- TÚI</v>
      </c>
      <c r="F925" s="4">
        <v>72000</v>
      </c>
      <c r="G925">
        <v>1</v>
      </c>
      <c r="H925" s="4">
        <v>72000</v>
      </c>
      <c r="I925" s="4">
        <v>-10000</v>
      </c>
      <c r="J925" s="5">
        <f t="shared" si="14"/>
        <v>62000</v>
      </c>
    </row>
    <row r="926" spans="1:10" x14ac:dyDescent="0.25">
      <c r="A926" s="6">
        <v>934</v>
      </c>
      <c r="B926" t="s">
        <v>2135</v>
      </c>
      <c r="C926" t="s">
        <v>874</v>
      </c>
      <c r="D926" t="s">
        <v>38</v>
      </c>
      <c r="E926" t="str">
        <f>VLOOKUP(D926,'Tên SP'!B$2:C$1070,2,0)</f>
        <v>BỘT GIẶT LIXE HƯƠNG NƯỚC HOA 5,5KG/03</v>
      </c>
      <c r="F926" s="4">
        <v>127600</v>
      </c>
      <c r="G926">
        <v>1</v>
      </c>
      <c r="H926" s="4">
        <v>127600</v>
      </c>
      <c r="I926" s="4">
        <v>-8000</v>
      </c>
      <c r="J926" s="5">
        <f t="shared" si="14"/>
        <v>119600</v>
      </c>
    </row>
    <row r="927" spans="1:10" x14ac:dyDescent="0.25">
      <c r="A927" s="6">
        <v>935</v>
      </c>
      <c r="B927" t="s">
        <v>2136</v>
      </c>
      <c r="C927" t="s">
        <v>875</v>
      </c>
      <c r="D927" t="s">
        <v>102</v>
      </c>
      <c r="E927" t="str">
        <f>VLOOKUP(D927,'Tên SP'!B$2:C$1070,2,0)</f>
        <v>NƯỚC GIẶT LIX HƯƠNG NƯỚC HOA 3,5KG/T04 TÚI</v>
      </c>
      <c r="F927" s="4">
        <v>88000</v>
      </c>
      <c r="G927">
        <v>1</v>
      </c>
      <c r="H927" s="4">
        <v>88000</v>
      </c>
      <c r="I927" s="4">
        <v>-4400</v>
      </c>
      <c r="J927" s="5">
        <f t="shared" si="14"/>
        <v>83600</v>
      </c>
    </row>
    <row r="928" spans="1:10" x14ac:dyDescent="0.25">
      <c r="A928" s="6">
        <v>936</v>
      </c>
      <c r="B928" t="s">
        <v>2136</v>
      </c>
      <c r="C928" t="s">
        <v>875</v>
      </c>
      <c r="D928" t="s">
        <v>102</v>
      </c>
      <c r="E928" t="str">
        <f>VLOOKUP(D928,'Tên SP'!B$2:C$1070,2,0)</f>
        <v>NƯỚC GIẶT LIX HƯƠNG NƯỚC HOA 3,5KG/T04 TÚI</v>
      </c>
      <c r="F928" s="4">
        <v>88000</v>
      </c>
      <c r="G928">
        <v>1</v>
      </c>
      <c r="H928" s="4">
        <v>88000</v>
      </c>
      <c r="I928" s="4">
        <v>-4400</v>
      </c>
      <c r="J928" s="5">
        <f t="shared" si="14"/>
        <v>83600</v>
      </c>
    </row>
    <row r="929" spans="1:10" x14ac:dyDescent="0.25">
      <c r="A929" s="6">
        <v>937</v>
      </c>
      <c r="B929" t="s">
        <v>2136</v>
      </c>
      <c r="C929" t="s">
        <v>875</v>
      </c>
      <c r="D929" t="s">
        <v>102</v>
      </c>
      <c r="E929" t="str">
        <f>VLOOKUP(D929,'Tên SP'!B$2:C$1070,2,0)</f>
        <v>NƯỚC GIẶT LIX HƯƠNG NƯỚC HOA 3,5KG/T04 TÚI</v>
      </c>
      <c r="F929" s="4">
        <v>88000</v>
      </c>
      <c r="G929">
        <v>1</v>
      </c>
      <c r="H929" s="4">
        <v>88000</v>
      </c>
      <c r="I929" s="4">
        <v>-4400</v>
      </c>
      <c r="J929" s="5">
        <f t="shared" si="14"/>
        <v>83600</v>
      </c>
    </row>
    <row r="930" spans="1:10" x14ac:dyDescent="0.25">
      <c r="A930" s="6">
        <v>938</v>
      </c>
      <c r="B930" t="s">
        <v>2136</v>
      </c>
      <c r="C930" t="s">
        <v>875</v>
      </c>
      <c r="D930" t="s">
        <v>102</v>
      </c>
      <c r="E930" t="str">
        <f>VLOOKUP(D930,'Tên SP'!B$2:C$1070,2,0)</f>
        <v>NƯỚC GIẶT LIX HƯƠNG NƯỚC HOA 3,5KG/T04 TÚI</v>
      </c>
      <c r="F930" s="4">
        <v>88000</v>
      </c>
      <c r="G930">
        <v>1</v>
      </c>
      <c r="H930" s="4">
        <v>88000</v>
      </c>
      <c r="I930" s="4">
        <v>-4400</v>
      </c>
      <c r="J930" s="5">
        <f t="shared" si="14"/>
        <v>83600</v>
      </c>
    </row>
    <row r="931" spans="1:10" x14ac:dyDescent="0.25">
      <c r="A931" s="6">
        <v>939</v>
      </c>
      <c r="B931" t="s">
        <v>2137</v>
      </c>
      <c r="C931" t="s">
        <v>876</v>
      </c>
      <c r="D931" t="s">
        <v>9</v>
      </c>
      <c r="E931" t="str">
        <f>VLOOKUP(D931,'Tên SP'!B$2:C$1070,2,0)</f>
        <v>NƯỚC GIẶT LIX ĐẬM ĐẶC 3,5KG/T04 TÚI</v>
      </c>
      <c r="F931" s="4">
        <v>88000</v>
      </c>
      <c r="G931">
        <v>1</v>
      </c>
      <c r="H931" s="4">
        <v>88000</v>
      </c>
      <c r="I931" s="4">
        <v>-8000</v>
      </c>
      <c r="J931" s="5">
        <f t="shared" si="14"/>
        <v>80000</v>
      </c>
    </row>
    <row r="932" spans="1:10" x14ac:dyDescent="0.25">
      <c r="A932" s="6">
        <v>940</v>
      </c>
      <c r="B932" t="s">
        <v>2137</v>
      </c>
      <c r="C932" t="s">
        <v>876</v>
      </c>
      <c r="D932" t="s">
        <v>9</v>
      </c>
      <c r="E932" t="str">
        <f>VLOOKUP(D932,'Tên SP'!B$2:C$1070,2,0)</f>
        <v>NƯỚC GIẶT LIX ĐẬM ĐẶC 3,5KG/T04 TÚI</v>
      </c>
      <c r="F932" s="4">
        <v>88000</v>
      </c>
      <c r="G932">
        <v>1</v>
      </c>
      <c r="H932" s="4">
        <v>88000</v>
      </c>
      <c r="I932" s="4">
        <v>-8000</v>
      </c>
      <c r="J932" s="5">
        <f t="shared" si="14"/>
        <v>80000</v>
      </c>
    </row>
    <row r="933" spans="1:10" x14ac:dyDescent="0.25">
      <c r="A933" s="6">
        <v>941</v>
      </c>
      <c r="B933" t="s">
        <v>2137</v>
      </c>
      <c r="C933" t="s">
        <v>876</v>
      </c>
      <c r="D933" t="s">
        <v>9</v>
      </c>
      <c r="E933" t="str">
        <f>VLOOKUP(D933,'Tên SP'!B$2:C$1070,2,0)</f>
        <v>NƯỚC GIẶT LIX ĐẬM ĐẶC 3,5KG/T04 TÚI</v>
      </c>
      <c r="F933" s="4">
        <v>88000</v>
      </c>
      <c r="G933">
        <v>1</v>
      </c>
      <c r="H933" s="4">
        <v>88000</v>
      </c>
      <c r="I933" s="4">
        <v>-8000</v>
      </c>
      <c r="J933" s="5">
        <f t="shared" si="14"/>
        <v>80000</v>
      </c>
    </row>
    <row r="934" spans="1:10" x14ac:dyDescent="0.25">
      <c r="A934" s="6">
        <v>942</v>
      </c>
      <c r="B934" t="s">
        <v>2137</v>
      </c>
      <c r="C934" t="s">
        <v>876</v>
      </c>
      <c r="D934" t="s">
        <v>9</v>
      </c>
      <c r="E934" t="str">
        <f>VLOOKUP(D934,'Tên SP'!B$2:C$1070,2,0)</f>
        <v>NƯỚC GIẶT LIX ĐẬM ĐẶC 3,5KG/T04 TÚI</v>
      </c>
      <c r="F934" s="4">
        <v>88000</v>
      </c>
      <c r="G934">
        <v>1</v>
      </c>
      <c r="H934" s="4">
        <v>88000</v>
      </c>
      <c r="I934" s="4">
        <v>-8000</v>
      </c>
      <c r="J934" s="5">
        <f t="shared" si="14"/>
        <v>80000</v>
      </c>
    </row>
    <row r="935" spans="1:10" x14ac:dyDescent="0.25">
      <c r="A935" s="6">
        <v>943</v>
      </c>
      <c r="B935" t="s">
        <v>2137</v>
      </c>
      <c r="C935" t="s">
        <v>876</v>
      </c>
      <c r="D935" t="s">
        <v>9</v>
      </c>
      <c r="E935" t="str">
        <f>VLOOKUP(D935,'Tên SP'!B$2:C$1070,2,0)</f>
        <v>NƯỚC GIẶT LIX ĐẬM ĐẶC 3,5KG/T04 TÚI</v>
      </c>
      <c r="F935" s="4">
        <v>88000</v>
      </c>
      <c r="G935">
        <v>1</v>
      </c>
      <c r="H935" s="4">
        <v>88000</v>
      </c>
      <c r="I935" s="4">
        <v>-8000</v>
      </c>
      <c r="J935" s="5">
        <f t="shared" si="14"/>
        <v>80000</v>
      </c>
    </row>
    <row r="936" spans="1:10" x14ac:dyDescent="0.25">
      <c r="A936" s="6">
        <v>944</v>
      </c>
      <c r="B936" t="s">
        <v>2138</v>
      </c>
      <c r="C936" t="s">
        <v>877</v>
      </c>
      <c r="D936" t="s">
        <v>9</v>
      </c>
      <c r="E936" t="str">
        <f>VLOOKUP(D936,'Tên SP'!B$2:C$1070,2,0)</f>
        <v>NƯỚC GIẶT LIX ĐẬM ĐẶC 3,5KG/T04 TÚI</v>
      </c>
      <c r="F936" s="4">
        <v>88000</v>
      </c>
      <c r="G936">
        <v>1</v>
      </c>
      <c r="H936" s="4">
        <v>88000</v>
      </c>
      <c r="I936" s="4">
        <v>-10000</v>
      </c>
      <c r="J936" s="5">
        <f t="shared" si="14"/>
        <v>78000</v>
      </c>
    </row>
    <row r="937" spans="1:10" x14ac:dyDescent="0.25">
      <c r="A937" s="6">
        <v>945</v>
      </c>
      <c r="B937" t="s">
        <v>2139</v>
      </c>
      <c r="C937" t="s">
        <v>878</v>
      </c>
      <c r="D937" t="s">
        <v>102</v>
      </c>
      <c r="E937" t="str">
        <f>VLOOKUP(D937,'Tên SP'!B$2:C$1070,2,0)</f>
        <v>NƯỚC GIẶT LIX HƯƠNG NƯỚC HOA 3,5KG/T04 TÚI</v>
      </c>
      <c r="F937" s="4">
        <v>88000</v>
      </c>
      <c r="G937">
        <v>1</v>
      </c>
      <c r="H937" s="4">
        <v>88000</v>
      </c>
      <c r="I937" s="4">
        <v>0</v>
      </c>
      <c r="J937" s="5">
        <f t="shared" si="14"/>
        <v>88000</v>
      </c>
    </row>
    <row r="938" spans="1:10" x14ac:dyDescent="0.25">
      <c r="A938" s="6">
        <v>946</v>
      </c>
      <c r="B938" t="s">
        <v>2140</v>
      </c>
      <c r="C938" t="s">
        <v>879</v>
      </c>
      <c r="D938" t="s">
        <v>102</v>
      </c>
      <c r="E938" t="str">
        <f>VLOOKUP(D938,'Tên SP'!B$2:C$1070,2,0)</f>
        <v>NƯỚC GIẶT LIX HƯƠNG NƯỚC HOA 3,5KG/T04 TÚI</v>
      </c>
      <c r="F938" s="4">
        <v>88000</v>
      </c>
      <c r="G938">
        <v>1</v>
      </c>
      <c r="H938" s="4">
        <v>88000</v>
      </c>
      <c r="I938" s="4">
        <v>-7500</v>
      </c>
      <c r="J938" s="5">
        <f t="shared" si="14"/>
        <v>80500</v>
      </c>
    </row>
    <row r="939" spans="1:10" x14ac:dyDescent="0.25">
      <c r="A939" s="6">
        <v>947</v>
      </c>
      <c r="B939" t="s">
        <v>2140</v>
      </c>
      <c r="C939" t="s">
        <v>879</v>
      </c>
      <c r="D939" t="s">
        <v>9</v>
      </c>
      <c r="E939" t="str">
        <f>VLOOKUP(D939,'Tên SP'!B$2:C$1070,2,0)</f>
        <v>NƯỚC GIẶT LIX ĐẬM ĐẶC 3,5KG/T04 TÚI</v>
      </c>
      <c r="F939" s="4">
        <v>88000</v>
      </c>
      <c r="G939">
        <v>1</v>
      </c>
      <c r="H939" s="4">
        <v>88000</v>
      </c>
      <c r="I939" s="4">
        <v>-7500</v>
      </c>
      <c r="J939" s="5">
        <f t="shared" si="14"/>
        <v>80500</v>
      </c>
    </row>
    <row r="940" spans="1:10" x14ac:dyDescent="0.25">
      <c r="A940" s="6">
        <v>948</v>
      </c>
      <c r="B940" t="s">
        <v>2141</v>
      </c>
      <c r="C940" t="s">
        <v>880</v>
      </c>
      <c r="D940" t="s">
        <v>102</v>
      </c>
      <c r="E940" t="str">
        <f>VLOOKUP(D940,'Tên SP'!B$2:C$1070,2,0)</f>
        <v>NƯỚC GIẶT LIX HƯƠNG NƯỚC HOA 3,5KG/T04 TÚI</v>
      </c>
      <c r="F940" s="4">
        <v>88000</v>
      </c>
      <c r="G940">
        <v>1</v>
      </c>
      <c r="H940" s="4">
        <v>88000</v>
      </c>
      <c r="I940" s="4">
        <v>-5000</v>
      </c>
      <c r="J940" s="5">
        <f t="shared" si="14"/>
        <v>83000</v>
      </c>
    </row>
    <row r="941" spans="1:10" x14ac:dyDescent="0.25">
      <c r="A941" s="6">
        <v>949</v>
      </c>
      <c r="B941" t="s">
        <v>2141</v>
      </c>
      <c r="C941" t="s">
        <v>880</v>
      </c>
      <c r="D941" t="s">
        <v>102</v>
      </c>
      <c r="E941" t="str">
        <f>VLOOKUP(D941,'Tên SP'!B$2:C$1070,2,0)</f>
        <v>NƯỚC GIẶT LIX HƯƠNG NƯỚC HOA 3,5KG/T04 TÚI</v>
      </c>
      <c r="F941" s="4">
        <v>88000</v>
      </c>
      <c r="G941">
        <v>1</v>
      </c>
      <c r="H941" s="4">
        <v>88000</v>
      </c>
      <c r="I941" s="4">
        <v>-5000</v>
      </c>
      <c r="J941" s="5">
        <f t="shared" si="14"/>
        <v>83000</v>
      </c>
    </row>
    <row r="942" spans="1:10" x14ac:dyDescent="0.25">
      <c r="A942" s="6">
        <v>950</v>
      </c>
      <c r="B942" t="s">
        <v>2142</v>
      </c>
      <c r="C942" t="s">
        <v>881</v>
      </c>
      <c r="D942" t="s">
        <v>102</v>
      </c>
      <c r="E942" t="str">
        <f>VLOOKUP(D942,'Tên SP'!B$2:C$1070,2,0)</f>
        <v>NƯỚC GIẶT LIX HƯƠNG NƯỚC HOA 3,5KG/T04 TÚI</v>
      </c>
      <c r="F942" s="4">
        <v>88000</v>
      </c>
      <c r="G942">
        <v>1</v>
      </c>
      <c r="H942" s="4">
        <v>88000</v>
      </c>
      <c r="I942" s="4">
        <v>-8000</v>
      </c>
      <c r="J942" s="5">
        <f t="shared" si="14"/>
        <v>80000</v>
      </c>
    </row>
    <row r="943" spans="1:10" x14ac:dyDescent="0.25">
      <c r="A943" s="6">
        <v>951</v>
      </c>
      <c r="B943" t="s">
        <v>2142</v>
      </c>
      <c r="C943" t="s">
        <v>881</v>
      </c>
      <c r="D943" t="s">
        <v>102</v>
      </c>
      <c r="E943" t="str">
        <f>VLOOKUP(D943,'Tên SP'!B$2:C$1070,2,0)</f>
        <v>NƯỚC GIẶT LIX HƯƠNG NƯỚC HOA 3,5KG/T04 TÚI</v>
      </c>
      <c r="F943" s="4">
        <v>88000</v>
      </c>
      <c r="G943">
        <v>1</v>
      </c>
      <c r="H943" s="4">
        <v>88000</v>
      </c>
      <c r="I943" s="4">
        <v>-8000</v>
      </c>
      <c r="J943" s="5">
        <f t="shared" si="14"/>
        <v>80000</v>
      </c>
    </row>
    <row r="944" spans="1:10" x14ac:dyDescent="0.25">
      <c r="A944" s="6">
        <v>952</v>
      </c>
      <c r="B944" t="s">
        <v>2142</v>
      </c>
      <c r="C944" t="s">
        <v>881</v>
      </c>
      <c r="D944" t="s">
        <v>102</v>
      </c>
      <c r="E944" t="str">
        <f>VLOOKUP(D944,'Tên SP'!B$2:C$1070,2,0)</f>
        <v>NƯỚC GIẶT LIX HƯƠNG NƯỚC HOA 3,5KG/T04 TÚI</v>
      </c>
      <c r="F944" s="4">
        <v>88000</v>
      </c>
      <c r="G944">
        <v>1</v>
      </c>
      <c r="H944" s="4">
        <v>88000</v>
      </c>
      <c r="I944" s="4">
        <v>-8000</v>
      </c>
      <c r="J944" s="5">
        <f t="shared" si="14"/>
        <v>80000</v>
      </c>
    </row>
    <row r="945" spans="1:10" x14ac:dyDescent="0.25">
      <c r="A945" s="6">
        <v>953</v>
      </c>
      <c r="B945" t="s">
        <v>2142</v>
      </c>
      <c r="C945" t="s">
        <v>881</v>
      </c>
      <c r="D945" t="s">
        <v>102</v>
      </c>
      <c r="E945" t="str">
        <f>VLOOKUP(D945,'Tên SP'!B$2:C$1070,2,0)</f>
        <v>NƯỚC GIẶT LIX HƯƠNG NƯỚC HOA 3,5KG/T04 TÚI</v>
      </c>
      <c r="F945" s="4">
        <v>88000</v>
      </c>
      <c r="G945">
        <v>1</v>
      </c>
      <c r="H945" s="4">
        <v>88000</v>
      </c>
      <c r="I945" s="4">
        <v>-8000</v>
      </c>
      <c r="J945" s="5">
        <f t="shared" si="14"/>
        <v>80000</v>
      </c>
    </row>
    <row r="946" spans="1:10" x14ac:dyDescent="0.25">
      <c r="A946" s="6">
        <v>954</v>
      </c>
      <c r="B946" t="s">
        <v>2142</v>
      </c>
      <c r="C946" t="s">
        <v>881</v>
      </c>
      <c r="D946" t="s">
        <v>102</v>
      </c>
      <c r="E946" t="str">
        <f>VLOOKUP(D946,'Tên SP'!B$2:C$1070,2,0)</f>
        <v>NƯỚC GIẶT LIX HƯƠNG NƯỚC HOA 3,5KG/T04 TÚI</v>
      </c>
      <c r="F946" s="4">
        <v>88000</v>
      </c>
      <c r="G946">
        <v>1</v>
      </c>
      <c r="H946" s="4">
        <v>88000</v>
      </c>
      <c r="I946" s="4">
        <v>-8000</v>
      </c>
      <c r="J946" s="5">
        <f t="shared" si="14"/>
        <v>80000</v>
      </c>
    </row>
    <row r="947" spans="1:10" x14ac:dyDescent="0.25">
      <c r="A947" s="6">
        <v>955</v>
      </c>
      <c r="B947" t="s">
        <v>2143</v>
      </c>
      <c r="C947" t="s">
        <v>882</v>
      </c>
      <c r="D947" t="s">
        <v>102</v>
      </c>
      <c r="E947" t="str">
        <f>VLOOKUP(D947,'Tên SP'!B$2:C$1070,2,0)</f>
        <v>NƯỚC GIẶT LIX HƯƠNG NƯỚC HOA 3,5KG/T04 TÚI</v>
      </c>
      <c r="F947" s="4">
        <v>88000</v>
      </c>
      <c r="G947">
        <v>1</v>
      </c>
      <c r="H947" s="4">
        <v>88000</v>
      </c>
      <c r="I947" s="4">
        <v>0</v>
      </c>
      <c r="J947" s="5">
        <f t="shared" si="14"/>
        <v>88000</v>
      </c>
    </row>
    <row r="948" spans="1:10" x14ac:dyDescent="0.25">
      <c r="A948" s="6">
        <v>956</v>
      </c>
      <c r="B948" t="s">
        <v>2144</v>
      </c>
      <c r="C948" t="s">
        <v>883</v>
      </c>
      <c r="D948" t="s">
        <v>42</v>
      </c>
      <c r="E948" t="str">
        <f>VLOOKUP(D948,'Tên SP'!B$2:C$1070,2,0)</f>
        <v>BỘT GIẶT LIXE HƯƠNG NƯỚC HOA 2,4KG/05</v>
      </c>
      <c r="F948" s="4">
        <v>66000</v>
      </c>
      <c r="G948">
        <v>1</v>
      </c>
      <c r="H948" s="4">
        <v>66000</v>
      </c>
      <c r="I948" s="4">
        <v>0</v>
      </c>
      <c r="J948" s="5">
        <f t="shared" si="14"/>
        <v>66000</v>
      </c>
    </row>
    <row r="949" spans="1:10" x14ac:dyDescent="0.25">
      <c r="A949" s="6">
        <v>957</v>
      </c>
      <c r="B949" t="s">
        <v>2145</v>
      </c>
      <c r="C949" t="s">
        <v>884</v>
      </c>
      <c r="D949" t="s">
        <v>102</v>
      </c>
      <c r="E949" t="str">
        <f>VLOOKUP(D949,'Tên SP'!B$2:C$1070,2,0)</f>
        <v>NƯỚC GIẶT LIX HƯƠNG NƯỚC HOA 3,5KG/T04 TÚI</v>
      </c>
      <c r="F949" s="4">
        <v>88000</v>
      </c>
      <c r="G949">
        <v>1</v>
      </c>
      <c r="H949" s="4">
        <v>88000</v>
      </c>
      <c r="I949" s="4">
        <v>-10000</v>
      </c>
      <c r="J949" s="5">
        <f t="shared" si="14"/>
        <v>78000</v>
      </c>
    </row>
    <row r="950" spans="1:10" x14ac:dyDescent="0.25">
      <c r="A950" s="6">
        <v>958</v>
      </c>
      <c r="B950" t="s">
        <v>2146</v>
      </c>
      <c r="C950" t="s">
        <v>885</v>
      </c>
      <c r="D950" t="s">
        <v>9</v>
      </c>
      <c r="E950" t="str">
        <f>VLOOKUP(D950,'Tên SP'!B$2:C$1070,2,0)</f>
        <v>NƯỚC GIẶT LIX ĐẬM ĐẶC 3,5KG/T04 TÚI</v>
      </c>
      <c r="F950" s="4">
        <v>88000</v>
      </c>
      <c r="G950">
        <v>1</v>
      </c>
      <c r="H950" s="4">
        <v>88000</v>
      </c>
      <c r="I950" s="4">
        <v>0</v>
      </c>
      <c r="J950" s="5">
        <f t="shared" si="14"/>
        <v>88000</v>
      </c>
    </row>
    <row r="951" spans="1:10" x14ac:dyDescent="0.25">
      <c r="A951" s="6">
        <v>959</v>
      </c>
      <c r="B951" t="s">
        <v>2147</v>
      </c>
      <c r="C951" t="s">
        <v>886</v>
      </c>
      <c r="D951" t="s">
        <v>89</v>
      </c>
      <c r="E951" t="str">
        <f>VLOOKUP(D951,'Tên SP'!B$2:C$1070,2,0)</f>
        <v>NƯỚC RỬA CHÉN SIÊU SẠCH TRÀ 750G/CH12</v>
      </c>
      <c r="F951" s="4">
        <v>16530</v>
      </c>
      <c r="G951">
        <v>1</v>
      </c>
      <c r="H951" s="4">
        <v>16530</v>
      </c>
      <c r="I951" s="4">
        <v>-8000</v>
      </c>
      <c r="J951" s="5">
        <f t="shared" si="14"/>
        <v>8530</v>
      </c>
    </row>
    <row r="952" spans="1:10" x14ac:dyDescent="0.25">
      <c r="A952" s="6">
        <v>960</v>
      </c>
      <c r="B952" t="s">
        <v>2148</v>
      </c>
      <c r="C952" t="s">
        <v>887</v>
      </c>
      <c r="D952" t="s">
        <v>89</v>
      </c>
      <c r="E952" t="str">
        <f>VLOOKUP(D952,'Tên SP'!B$2:C$1070,2,0)</f>
        <v>NƯỚC RỬA CHÉN SIÊU SẠCH TRÀ 750G/CH12</v>
      </c>
      <c r="F952" s="4">
        <v>16530</v>
      </c>
      <c r="G952">
        <v>1</v>
      </c>
      <c r="H952" s="4">
        <v>16530</v>
      </c>
      <c r="I952" s="4">
        <v>-8000</v>
      </c>
      <c r="J952" s="5">
        <f t="shared" si="14"/>
        <v>8530</v>
      </c>
    </row>
    <row r="953" spans="1:10" x14ac:dyDescent="0.25">
      <c r="A953" s="6">
        <v>961</v>
      </c>
      <c r="B953" t="s">
        <v>2149</v>
      </c>
      <c r="C953" t="s">
        <v>888</v>
      </c>
      <c r="D953" t="s">
        <v>93</v>
      </c>
      <c r="E953" t="str">
        <f>VLOOKUP(D953,'Tên SP'!B$2:C$1070,2,0)</f>
        <v>NƯỚC LAU SÀN ĐUỔI CÔN TRÙNG LIX 3.6L/C04</v>
      </c>
      <c r="F953" s="4">
        <v>82400</v>
      </c>
      <c r="G953">
        <v>1</v>
      </c>
      <c r="H953" s="4">
        <v>82400</v>
      </c>
      <c r="I953" s="4">
        <v>-10000</v>
      </c>
      <c r="J953" s="5">
        <f t="shared" si="14"/>
        <v>72400</v>
      </c>
    </row>
    <row r="954" spans="1:10" x14ac:dyDescent="0.25">
      <c r="A954" s="6">
        <v>962</v>
      </c>
      <c r="B954" t="s">
        <v>2150</v>
      </c>
      <c r="C954" t="s">
        <v>889</v>
      </c>
      <c r="D954" t="s">
        <v>102</v>
      </c>
      <c r="E954" t="str">
        <f>VLOOKUP(D954,'Tên SP'!B$2:C$1070,2,0)</f>
        <v>NƯỚC GIẶT LIX HƯƠNG NƯỚC HOA 3,5KG/T04 TÚI</v>
      </c>
      <c r="F954" s="4">
        <v>88000</v>
      </c>
      <c r="G954">
        <v>1</v>
      </c>
      <c r="H954" s="4">
        <v>88000</v>
      </c>
      <c r="I954" s="4">
        <v>-10000</v>
      </c>
      <c r="J954" s="5">
        <f t="shared" ref="J954:J1017" si="15">H954+I954</f>
        <v>78000</v>
      </c>
    </row>
    <row r="955" spans="1:10" x14ac:dyDescent="0.25">
      <c r="A955" s="6">
        <v>963</v>
      </c>
      <c r="B955" t="s">
        <v>2151</v>
      </c>
      <c r="C955" t="s">
        <v>890</v>
      </c>
      <c r="D955" t="s">
        <v>9</v>
      </c>
      <c r="E955" t="str">
        <f>VLOOKUP(D955,'Tên SP'!B$2:C$1070,2,0)</f>
        <v>NƯỚC GIẶT LIX ĐẬM ĐẶC 3,5KG/T04 TÚI</v>
      </c>
      <c r="F955" s="4">
        <v>88000</v>
      </c>
      <c r="G955">
        <v>1</v>
      </c>
      <c r="H955" s="4">
        <v>88000</v>
      </c>
      <c r="I955" s="4">
        <v>0</v>
      </c>
      <c r="J955" s="5">
        <f t="shared" si="15"/>
        <v>88000</v>
      </c>
    </row>
    <row r="956" spans="1:10" x14ac:dyDescent="0.25">
      <c r="A956" s="6">
        <v>964</v>
      </c>
      <c r="B956" t="s">
        <v>2152</v>
      </c>
      <c r="C956" t="s">
        <v>891</v>
      </c>
      <c r="D956" t="s">
        <v>9</v>
      </c>
      <c r="E956" t="str">
        <f>VLOOKUP(D956,'Tên SP'!B$2:C$1070,2,0)</f>
        <v>NƯỚC GIẶT LIX ĐẬM ĐẶC 3,5KG/T04 TÚI</v>
      </c>
      <c r="F956" s="4">
        <v>88000</v>
      </c>
      <c r="G956">
        <v>1</v>
      </c>
      <c r="H956" s="4">
        <v>88000</v>
      </c>
      <c r="I956" s="4">
        <v>-10000</v>
      </c>
      <c r="J956" s="5">
        <f t="shared" si="15"/>
        <v>78000</v>
      </c>
    </row>
    <row r="957" spans="1:10" x14ac:dyDescent="0.25">
      <c r="A957" s="6">
        <v>965</v>
      </c>
      <c r="B957" t="s">
        <v>2153</v>
      </c>
      <c r="C957" t="s">
        <v>892</v>
      </c>
      <c r="D957" t="s">
        <v>102</v>
      </c>
      <c r="E957" t="str">
        <f>VLOOKUP(D957,'Tên SP'!B$2:C$1070,2,0)</f>
        <v>NƯỚC GIẶT LIX HƯƠNG NƯỚC HOA 3,5KG/T04 TÚI</v>
      </c>
      <c r="F957" s="4">
        <v>88000</v>
      </c>
      <c r="G957">
        <v>1</v>
      </c>
      <c r="H957" s="4">
        <v>88000</v>
      </c>
      <c r="I957" s="4">
        <v>-13200</v>
      </c>
      <c r="J957" s="5">
        <f t="shared" si="15"/>
        <v>74800</v>
      </c>
    </row>
    <row r="958" spans="1:10" x14ac:dyDescent="0.25">
      <c r="A958" s="6">
        <v>966</v>
      </c>
      <c r="B958" t="s">
        <v>2154</v>
      </c>
      <c r="C958" t="s">
        <v>893</v>
      </c>
      <c r="D958" t="s">
        <v>9</v>
      </c>
      <c r="E958" t="str">
        <f>VLOOKUP(D958,'Tên SP'!B$2:C$1070,2,0)</f>
        <v>NƯỚC GIẶT LIX ĐẬM ĐẶC 3,5KG/T04 TÚI</v>
      </c>
      <c r="F958" s="4">
        <v>88000</v>
      </c>
      <c r="G958">
        <v>1</v>
      </c>
      <c r="H958" s="4">
        <v>88000</v>
      </c>
      <c r="I958" s="4">
        <v>-10000</v>
      </c>
      <c r="J958" s="5">
        <f t="shared" si="15"/>
        <v>78000</v>
      </c>
    </row>
    <row r="959" spans="1:10" x14ac:dyDescent="0.25">
      <c r="A959" s="6">
        <v>967</v>
      </c>
      <c r="B959" t="s">
        <v>2155</v>
      </c>
      <c r="C959" t="s">
        <v>894</v>
      </c>
      <c r="D959" t="s">
        <v>38</v>
      </c>
      <c r="E959" t="str">
        <f>VLOOKUP(D959,'Tên SP'!B$2:C$1070,2,0)</f>
        <v>BỘT GIẶT LIXE HƯƠNG NƯỚC HOA 5,5KG/03</v>
      </c>
      <c r="F959" s="4">
        <v>127600</v>
      </c>
      <c r="G959">
        <v>1</v>
      </c>
      <c r="H959" s="4">
        <v>127600</v>
      </c>
      <c r="I959" s="4">
        <v>0</v>
      </c>
      <c r="J959" s="5">
        <f t="shared" si="15"/>
        <v>127600</v>
      </c>
    </row>
    <row r="960" spans="1:10" x14ac:dyDescent="0.25">
      <c r="A960" s="6">
        <v>968</v>
      </c>
      <c r="B960" t="s">
        <v>2156</v>
      </c>
      <c r="C960" t="s">
        <v>895</v>
      </c>
      <c r="D960" t="s">
        <v>102</v>
      </c>
      <c r="E960" t="str">
        <f>VLOOKUP(D960,'Tên SP'!B$2:C$1070,2,0)</f>
        <v>NƯỚC GIẶT LIX HƯƠNG NƯỚC HOA 3,5KG/T04 TÚI</v>
      </c>
      <c r="F960" s="4">
        <v>88000</v>
      </c>
      <c r="G960">
        <v>1</v>
      </c>
      <c r="H960" s="4">
        <v>88000</v>
      </c>
      <c r="I960" s="4">
        <v>-10000</v>
      </c>
      <c r="J960" s="5">
        <f t="shared" si="15"/>
        <v>78000</v>
      </c>
    </row>
    <row r="961" spans="1:10" x14ac:dyDescent="0.25">
      <c r="A961" s="6">
        <v>969</v>
      </c>
      <c r="B961" t="s">
        <v>2157</v>
      </c>
      <c r="C961" t="s">
        <v>896</v>
      </c>
      <c r="D961" t="s">
        <v>97</v>
      </c>
      <c r="E961" t="str">
        <f>VLOOKUP(D961,'Tên SP'!B$2:C$1070,2,0)</f>
        <v>NƯỚC GIẶT LIX ĐẬM ĐẶC 3,6KG/C04</v>
      </c>
      <c r="F961" s="4">
        <v>105600</v>
      </c>
      <c r="G961">
        <v>1</v>
      </c>
      <c r="H961" s="4">
        <v>105600</v>
      </c>
      <c r="I961" s="4">
        <v>0</v>
      </c>
      <c r="J961" s="5">
        <f t="shared" si="15"/>
        <v>105600</v>
      </c>
    </row>
    <row r="962" spans="1:10" x14ac:dyDescent="0.25">
      <c r="A962" s="6">
        <v>970</v>
      </c>
      <c r="B962" t="s">
        <v>2158</v>
      </c>
      <c r="C962" t="s">
        <v>897</v>
      </c>
      <c r="D962" t="s">
        <v>106</v>
      </c>
      <c r="E962" t="str">
        <f>VLOOKUP(D962,'Tên SP'!B$2:C$1070,2,0)</f>
        <v>NƯỚC GIẶT LIX SIÊU SẠCH HOA ANH ĐÀO 2.4KG/T06</v>
      </c>
      <c r="F962" s="4">
        <v>60030</v>
      </c>
      <c r="G962">
        <v>1</v>
      </c>
      <c r="H962" s="4">
        <v>60030</v>
      </c>
      <c r="I962" s="4">
        <v>-5000</v>
      </c>
      <c r="J962" s="5">
        <f t="shared" si="15"/>
        <v>55030</v>
      </c>
    </row>
    <row r="963" spans="1:10" x14ac:dyDescent="0.25">
      <c r="A963" s="6">
        <v>971</v>
      </c>
      <c r="B963" t="s">
        <v>2158</v>
      </c>
      <c r="C963" t="s">
        <v>897</v>
      </c>
      <c r="D963" t="s">
        <v>106</v>
      </c>
      <c r="E963" t="str">
        <f>VLOOKUP(D963,'Tên SP'!B$2:C$1070,2,0)</f>
        <v>NƯỚC GIẶT LIX SIÊU SẠCH HOA ANH ĐÀO 2.4KG/T06</v>
      </c>
      <c r="F963" s="4">
        <v>60030</v>
      </c>
      <c r="G963">
        <v>1</v>
      </c>
      <c r="H963" s="4">
        <v>60030</v>
      </c>
      <c r="I963" s="4">
        <v>-5000</v>
      </c>
      <c r="J963" s="5">
        <f t="shared" si="15"/>
        <v>55030</v>
      </c>
    </row>
    <row r="964" spans="1:10" x14ac:dyDescent="0.25">
      <c r="A964" s="6">
        <v>972</v>
      </c>
      <c r="B964" t="s">
        <v>2159</v>
      </c>
      <c r="C964" t="s">
        <v>898</v>
      </c>
      <c r="D964" t="s">
        <v>9</v>
      </c>
      <c r="E964" t="str">
        <f>VLOOKUP(D964,'Tên SP'!B$2:C$1070,2,0)</f>
        <v>NƯỚC GIẶT LIX ĐẬM ĐẶC 3,5KG/T04 TÚI</v>
      </c>
      <c r="F964" s="4">
        <v>88000</v>
      </c>
      <c r="G964">
        <v>1</v>
      </c>
      <c r="H964" s="4">
        <v>88000</v>
      </c>
      <c r="I964" s="4">
        <v>-4400</v>
      </c>
      <c r="J964" s="5">
        <f t="shared" si="15"/>
        <v>83600</v>
      </c>
    </row>
    <row r="965" spans="1:10" x14ac:dyDescent="0.25">
      <c r="A965" s="6">
        <v>973</v>
      </c>
      <c r="B965" t="s">
        <v>2159</v>
      </c>
      <c r="C965" t="s">
        <v>898</v>
      </c>
      <c r="D965" t="s">
        <v>9</v>
      </c>
      <c r="E965" t="str">
        <f>VLOOKUP(D965,'Tên SP'!B$2:C$1070,2,0)</f>
        <v>NƯỚC GIẶT LIX ĐẬM ĐẶC 3,5KG/T04 TÚI</v>
      </c>
      <c r="F965" s="4">
        <v>88000</v>
      </c>
      <c r="G965">
        <v>1</v>
      </c>
      <c r="H965" s="4">
        <v>88000</v>
      </c>
      <c r="I965" s="4">
        <v>-4400</v>
      </c>
      <c r="J965" s="5">
        <f t="shared" si="15"/>
        <v>83600</v>
      </c>
    </row>
    <row r="966" spans="1:10" x14ac:dyDescent="0.25">
      <c r="A966" s="6">
        <v>974</v>
      </c>
      <c r="B966" t="s">
        <v>2160</v>
      </c>
      <c r="C966" t="s">
        <v>899</v>
      </c>
      <c r="D966" t="s">
        <v>102</v>
      </c>
      <c r="E966" t="str">
        <f>VLOOKUP(D966,'Tên SP'!B$2:C$1070,2,0)</f>
        <v>NƯỚC GIẶT LIX HƯƠNG NƯỚC HOA 3,5KG/T04 TÚI</v>
      </c>
      <c r="F966" s="4">
        <v>88000</v>
      </c>
      <c r="G966">
        <v>1</v>
      </c>
      <c r="H966" s="4">
        <v>88000</v>
      </c>
      <c r="I966" s="4">
        <v>-10000</v>
      </c>
      <c r="J966" s="5">
        <f t="shared" si="15"/>
        <v>78000</v>
      </c>
    </row>
    <row r="967" spans="1:10" x14ac:dyDescent="0.25">
      <c r="A967" s="6">
        <v>975</v>
      </c>
      <c r="B967" t="s">
        <v>2161</v>
      </c>
      <c r="C967" t="s">
        <v>900</v>
      </c>
      <c r="D967" t="s">
        <v>102</v>
      </c>
      <c r="E967" t="str">
        <f>VLOOKUP(D967,'Tên SP'!B$2:C$1070,2,0)</f>
        <v>NƯỚC GIẶT LIX HƯƠNG NƯỚC HOA 3,5KG/T04 TÚI</v>
      </c>
      <c r="F967" s="4">
        <v>88000</v>
      </c>
      <c r="G967">
        <v>1</v>
      </c>
      <c r="H967" s="4">
        <v>88000</v>
      </c>
      <c r="I967" s="4">
        <v>0</v>
      </c>
      <c r="J967" s="5">
        <f t="shared" si="15"/>
        <v>88000</v>
      </c>
    </row>
    <row r="968" spans="1:10" x14ac:dyDescent="0.25">
      <c r="A968" s="6">
        <v>976</v>
      </c>
      <c r="B968" t="s">
        <v>2162</v>
      </c>
      <c r="C968" t="s">
        <v>901</v>
      </c>
      <c r="D968" t="s">
        <v>67</v>
      </c>
      <c r="E968" t="str">
        <f>VLOOKUP(D968,'Tên SP'!B$2:C$1070,2,0)</f>
        <v>BỘT GIẶT LIX DD HƯƠNG NƯỚC HOA 800G/12</v>
      </c>
      <c r="F968" s="4">
        <v>28000</v>
      </c>
      <c r="G968">
        <v>1</v>
      </c>
      <c r="H968" s="4">
        <v>28000</v>
      </c>
      <c r="I968" s="4">
        <v>-3181</v>
      </c>
      <c r="J968" s="5">
        <f t="shared" si="15"/>
        <v>24819</v>
      </c>
    </row>
    <row r="969" spans="1:10" x14ac:dyDescent="0.25">
      <c r="A969" s="6">
        <v>977</v>
      </c>
      <c r="B969" t="s">
        <v>2162</v>
      </c>
      <c r="C969" t="s">
        <v>901</v>
      </c>
      <c r="D969" t="s">
        <v>106</v>
      </c>
      <c r="E969" t="str">
        <f>VLOOKUP(D969,'Tên SP'!B$2:C$1070,2,0)</f>
        <v>NƯỚC GIẶT LIX SIÊU SẠCH HOA ANH ĐÀO 2.4KG/T06</v>
      </c>
      <c r="F969" s="4">
        <v>60030</v>
      </c>
      <c r="G969">
        <v>1</v>
      </c>
      <c r="H969" s="4">
        <v>60030</v>
      </c>
      <c r="I969" s="4">
        <v>-6819</v>
      </c>
      <c r="J969" s="5">
        <f t="shared" si="15"/>
        <v>53211</v>
      </c>
    </row>
    <row r="970" spans="1:10" x14ac:dyDescent="0.25">
      <c r="A970" s="6">
        <v>978</v>
      </c>
      <c r="B970" t="s">
        <v>2163</v>
      </c>
      <c r="C970" t="s">
        <v>902</v>
      </c>
      <c r="D970" t="s">
        <v>9</v>
      </c>
      <c r="E970" t="str">
        <f>VLOOKUP(D970,'Tên SP'!B$2:C$1070,2,0)</f>
        <v>NƯỚC GIẶT LIX ĐẬM ĐẶC 3,5KG/T04 TÚI</v>
      </c>
      <c r="F970" s="4">
        <v>88000</v>
      </c>
      <c r="G970">
        <v>1</v>
      </c>
      <c r="H970" s="4">
        <v>88000</v>
      </c>
      <c r="I970" s="4">
        <v>-4400</v>
      </c>
      <c r="J970" s="5">
        <f t="shared" si="15"/>
        <v>83600</v>
      </c>
    </row>
    <row r="971" spans="1:10" x14ac:dyDescent="0.25">
      <c r="A971" s="6">
        <v>979</v>
      </c>
      <c r="B971" t="s">
        <v>2163</v>
      </c>
      <c r="C971" t="s">
        <v>902</v>
      </c>
      <c r="D971" t="s">
        <v>9</v>
      </c>
      <c r="E971" t="str">
        <f>VLOOKUP(D971,'Tên SP'!B$2:C$1070,2,0)</f>
        <v>NƯỚC GIẶT LIX ĐẬM ĐẶC 3,5KG/T04 TÚI</v>
      </c>
      <c r="F971" s="4">
        <v>88000</v>
      </c>
      <c r="G971">
        <v>1</v>
      </c>
      <c r="H971" s="4">
        <v>88000</v>
      </c>
      <c r="I971" s="4">
        <v>-4400</v>
      </c>
      <c r="J971" s="5">
        <f t="shared" si="15"/>
        <v>83600</v>
      </c>
    </row>
    <row r="972" spans="1:10" x14ac:dyDescent="0.25">
      <c r="A972" s="6">
        <v>980</v>
      </c>
      <c r="B972" t="s">
        <v>2164</v>
      </c>
      <c r="C972" t="s">
        <v>903</v>
      </c>
      <c r="D972" t="s">
        <v>44</v>
      </c>
      <c r="E972" t="str">
        <f>VLOOKUP(D972,'Tên SP'!B$2:C$1070,2,0)</f>
        <v>BỘT GIẶT LIXE CHANH 5,5KG/03</v>
      </c>
      <c r="F972" s="4">
        <v>129000</v>
      </c>
      <c r="G972">
        <v>1</v>
      </c>
      <c r="H972" s="4">
        <v>129000</v>
      </c>
      <c r="I972" s="4">
        <v>0</v>
      </c>
      <c r="J972" s="5">
        <f t="shared" si="15"/>
        <v>129000</v>
      </c>
    </row>
    <row r="973" spans="1:10" x14ac:dyDescent="0.25">
      <c r="A973" s="6">
        <v>981</v>
      </c>
      <c r="B973" t="s">
        <v>2165</v>
      </c>
      <c r="C973" t="s">
        <v>904</v>
      </c>
      <c r="D973" t="s">
        <v>29</v>
      </c>
      <c r="E973" t="str">
        <f>VLOOKUP(D973,'Tên SP'!B$2:C$1070,2,0)</f>
        <v>BỘT GIẶT LIXE 9KG/02</v>
      </c>
      <c r="F973" s="4">
        <v>190530</v>
      </c>
      <c r="G973">
        <v>1</v>
      </c>
      <c r="H973" s="4">
        <v>190530</v>
      </c>
      <c r="I973" s="4">
        <v>-9527</v>
      </c>
      <c r="J973" s="5">
        <f t="shared" si="15"/>
        <v>181003</v>
      </c>
    </row>
    <row r="974" spans="1:10" x14ac:dyDescent="0.25">
      <c r="A974" s="6">
        <v>982</v>
      </c>
      <c r="B974" t="s">
        <v>2165</v>
      </c>
      <c r="C974" t="s">
        <v>904</v>
      </c>
      <c r="D974" t="s">
        <v>184</v>
      </c>
      <c r="E974" t="str">
        <f>VLOOKUP(D974,'Tên SP'!B$2:C$1070,2,0)</f>
        <v>GEL DIỆT KHUẨN TAY ON1 60ML/CH80</v>
      </c>
      <c r="F974" s="4">
        <v>22000</v>
      </c>
      <c r="G974">
        <v>1</v>
      </c>
      <c r="H974" s="4">
        <v>22000</v>
      </c>
      <c r="I974" s="4">
        <v>-22000</v>
      </c>
      <c r="J974" s="5">
        <f t="shared" si="15"/>
        <v>0</v>
      </c>
    </row>
    <row r="975" spans="1:10" x14ac:dyDescent="0.25">
      <c r="A975" s="6">
        <v>983</v>
      </c>
      <c r="B975" t="s">
        <v>2166</v>
      </c>
      <c r="C975" t="s">
        <v>905</v>
      </c>
      <c r="D975" t="s">
        <v>102</v>
      </c>
      <c r="E975" t="str">
        <f>VLOOKUP(D975,'Tên SP'!B$2:C$1070,2,0)</f>
        <v>NƯỚC GIẶT LIX HƯƠNG NƯỚC HOA 3,5KG/T04 TÚI</v>
      </c>
      <c r="F975" s="4">
        <v>88000</v>
      </c>
      <c r="G975">
        <v>1</v>
      </c>
      <c r="H975" s="4">
        <v>88000</v>
      </c>
      <c r="I975" s="4">
        <v>-10000</v>
      </c>
      <c r="J975" s="5">
        <f t="shared" si="15"/>
        <v>78000</v>
      </c>
    </row>
    <row r="976" spans="1:10" x14ac:dyDescent="0.25">
      <c r="A976" s="6">
        <v>984</v>
      </c>
      <c r="B976" t="s">
        <v>2167</v>
      </c>
      <c r="C976" t="s">
        <v>906</v>
      </c>
      <c r="D976" t="s">
        <v>81</v>
      </c>
      <c r="E976" t="str">
        <f>VLOOKUP(D976,'Tên SP'!B$2:C$1070,2,0)</f>
        <v>NƯỚC RỬA CHÉN SIÊU SẠCH TRÀ 3,5KG/T04- TÚI</v>
      </c>
      <c r="F976" s="4">
        <v>65250</v>
      </c>
      <c r="G976">
        <v>1</v>
      </c>
      <c r="H976" s="4">
        <v>65250</v>
      </c>
      <c r="I976" s="4">
        <v>-9788</v>
      </c>
      <c r="J976" s="5">
        <f t="shared" si="15"/>
        <v>55462</v>
      </c>
    </row>
    <row r="977" spans="1:10" x14ac:dyDescent="0.25">
      <c r="A977" s="6">
        <v>985</v>
      </c>
      <c r="B977" t="s">
        <v>2168</v>
      </c>
      <c r="C977" t="s">
        <v>907</v>
      </c>
      <c r="D977" t="s">
        <v>54</v>
      </c>
      <c r="E977" t="str">
        <f>VLOOKUP(D977,'Tên SP'!B$2:C$1070,2,0)</f>
        <v>BỘT GIẶT LIX ĐẬM ĐẶC 800G/12</v>
      </c>
      <c r="F977" s="4">
        <v>22200</v>
      </c>
      <c r="G977">
        <v>1</v>
      </c>
      <c r="H977" s="4">
        <v>22200</v>
      </c>
      <c r="I977" s="4">
        <v>-2015</v>
      </c>
      <c r="J977" s="5">
        <f t="shared" si="15"/>
        <v>20185</v>
      </c>
    </row>
    <row r="978" spans="1:10" x14ac:dyDescent="0.25">
      <c r="A978" s="6">
        <v>986</v>
      </c>
      <c r="B978" t="s">
        <v>2168</v>
      </c>
      <c r="C978" t="s">
        <v>907</v>
      </c>
      <c r="D978" t="s">
        <v>102</v>
      </c>
      <c r="E978" t="str">
        <f>VLOOKUP(D978,'Tên SP'!B$2:C$1070,2,0)</f>
        <v>NƯỚC GIẶT LIX HƯƠNG NƯỚC HOA 3,5KG/T04 TÚI</v>
      </c>
      <c r="F978" s="4">
        <v>88000</v>
      </c>
      <c r="G978">
        <v>1</v>
      </c>
      <c r="H978" s="4">
        <v>88000</v>
      </c>
      <c r="I978" s="4">
        <v>-7985</v>
      </c>
      <c r="J978" s="5">
        <f t="shared" si="15"/>
        <v>80015</v>
      </c>
    </row>
    <row r="979" spans="1:10" x14ac:dyDescent="0.25">
      <c r="A979" s="6">
        <v>987</v>
      </c>
      <c r="B979" t="s">
        <v>2169</v>
      </c>
      <c r="C979" t="s">
        <v>908</v>
      </c>
      <c r="D979" t="s">
        <v>44</v>
      </c>
      <c r="E979" t="str">
        <f>VLOOKUP(D979,'Tên SP'!B$2:C$1070,2,0)</f>
        <v>BỘT GIẶT LIXE CHANH 5,5KG/03</v>
      </c>
      <c r="F979" s="4">
        <v>129000</v>
      </c>
      <c r="G979">
        <v>1</v>
      </c>
      <c r="H979" s="4">
        <v>129000</v>
      </c>
      <c r="I979" s="4">
        <v>0</v>
      </c>
      <c r="J979" s="5">
        <f t="shared" si="15"/>
        <v>129000</v>
      </c>
    </row>
    <row r="980" spans="1:10" x14ac:dyDescent="0.25">
      <c r="A980" s="6">
        <v>988</v>
      </c>
      <c r="B980" t="s">
        <v>2170</v>
      </c>
      <c r="C980" t="s">
        <v>909</v>
      </c>
      <c r="D980" t="s">
        <v>102</v>
      </c>
      <c r="E980" t="str">
        <f>VLOOKUP(D980,'Tên SP'!B$2:C$1070,2,0)</f>
        <v>NƯỚC GIẶT LIX HƯƠNG NƯỚC HOA 3,5KG/T04 TÚI</v>
      </c>
      <c r="F980" s="4">
        <v>88000</v>
      </c>
      <c r="G980">
        <v>1</v>
      </c>
      <c r="H980" s="4">
        <v>88000</v>
      </c>
      <c r="I980" s="4">
        <v>-4400</v>
      </c>
      <c r="J980" s="5">
        <f t="shared" si="15"/>
        <v>83600</v>
      </c>
    </row>
    <row r="981" spans="1:10" x14ac:dyDescent="0.25">
      <c r="A981" s="6">
        <v>989</v>
      </c>
      <c r="B981" t="s">
        <v>2170</v>
      </c>
      <c r="C981" t="s">
        <v>909</v>
      </c>
      <c r="D981" t="s">
        <v>102</v>
      </c>
      <c r="E981" t="str">
        <f>VLOOKUP(D981,'Tên SP'!B$2:C$1070,2,0)</f>
        <v>NƯỚC GIẶT LIX HƯƠNG NƯỚC HOA 3,5KG/T04 TÚI</v>
      </c>
      <c r="F981" s="4">
        <v>88000</v>
      </c>
      <c r="G981">
        <v>1</v>
      </c>
      <c r="H981" s="4">
        <v>88000</v>
      </c>
      <c r="I981" s="4">
        <v>-4400</v>
      </c>
      <c r="J981" s="5">
        <f t="shared" si="15"/>
        <v>83600</v>
      </c>
    </row>
    <row r="982" spans="1:10" x14ac:dyDescent="0.25">
      <c r="A982" s="6">
        <v>990</v>
      </c>
      <c r="B982" t="s">
        <v>2171</v>
      </c>
      <c r="C982" t="s">
        <v>910</v>
      </c>
      <c r="D982" t="s">
        <v>9</v>
      </c>
      <c r="E982" t="str">
        <f>VLOOKUP(D982,'Tên SP'!B$2:C$1070,2,0)</f>
        <v>NƯỚC GIẶT LIX ĐẬM ĐẶC 3,5KG/T04 TÚI</v>
      </c>
      <c r="F982" s="4">
        <v>88000</v>
      </c>
      <c r="G982">
        <v>1</v>
      </c>
      <c r="H982" s="4">
        <v>88000</v>
      </c>
      <c r="I982" s="4">
        <v>0</v>
      </c>
      <c r="J982" s="5">
        <f t="shared" si="15"/>
        <v>88000</v>
      </c>
    </row>
    <row r="983" spans="1:10" x14ac:dyDescent="0.25">
      <c r="A983" s="6">
        <v>991</v>
      </c>
      <c r="B983" t="s">
        <v>2172</v>
      </c>
      <c r="C983" t="s">
        <v>911</v>
      </c>
      <c r="D983" t="s">
        <v>184</v>
      </c>
      <c r="E983" t="str">
        <f>VLOOKUP(D983,'Tên SP'!B$2:C$1070,2,0)</f>
        <v>GEL DIỆT KHUẨN TAY ON1 60ML/CH80</v>
      </c>
      <c r="F983" s="4">
        <v>22000</v>
      </c>
      <c r="G983">
        <v>1</v>
      </c>
      <c r="H983" s="4">
        <v>22000</v>
      </c>
      <c r="I983" s="4">
        <v>-22000</v>
      </c>
      <c r="J983" s="5">
        <f t="shared" si="15"/>
        <v>0</v>
      </c>
    </row>
    <row r="984" spans="1:10" x14ac:dyDescent="0.25">
      <c r="A984" s="6">
        <v>992</v>
      </c>
      <c r="B984" t="s">
        <v>2172</v>
      </c>
      <c r="C984" t="s">
        <v>911</v>
      </c>
      <c r="D984" t="s">
        <v>29</v>
      </c>
      <c r="E984" t="str">
        <f>VLOOKUP(D984,'Tên SP'!B$2:C$1070,2,0)</f>
        <v>BỘT GIẶT LIXE 9KG/02</v>
      </c>
      <c r="F984" s="4">
        <v>190530</v>
      </c>
      <c r="G984">
        <v>1</v>
      </c>
      <c r="H984" s="4">
        <v>190530</v>
      </c>
      <c r="I984" s="4">
        <v>-9527</v>
      </c>
      <c r="J984" s="5">
        <f t="shared" si="15"/>
        <v>181003</v>
      </c>
    </row>
    <row r="985" spans="1:10" x14ac:dyDescent="0.25">
      <c r="A985" s="6">
        <v>993</v>
      </c>
      <c r="B985" t="s">
        <v>2172</v>
      </c>
      <c r="C985" t="s">
        <v>911</v>
      </c>
      <c r="D985" t="s">
        <v>29</v>
      </c>
      <c r="E985" t="str">
        <f>VLOOKUP(D985,'Tên SP'!B$2:C$1070,2,0)</f>
        <v>BỘT GIẶT LIXE 9KG/02</v>
      </c>
      <c r="F985" s="4">
        <v>190530</v>
      </c>
      <c r="G985">
        <v>1</v>
      </c>
      <c r="H985" s="4">
        <v>190530</v>
      </c>
      <c r="I985" s="4">
        <v>-9526</v>
      </c>
      <c r="J985" s="5">
        <f t="shared" si="15"/>
        <v>181004</v>
      </c>
    </row>
    <row r="986" spans="1:10" x14ac:dyDescent="0.25">
      <c r="A986" s="6">
        <v>994</v>
      </c>
      <c r="B986" t="s">
        <v>2173</v>
      </c>
      <c r="C986" t="s">
        <v>912</v>
      </c>
      <c r="D986" t="s">
        <v>75</v>
      </c>
      <c r="E986" t="str">
        <f>VLOOKUP(D986,'Tên SP'!B$2:C$1070,2,0)</f>
        <v>NƯỚC RỬA CHÉN SIÊU SẠCH CHANH 3,6KG/C04</v>
      </c>
      <c r="F986" s="4">
        <v>76000</v>
      </c>
      <c r="G986">
        <v>1</v>
      </c>
      <c r="H986" s="4">
        <v>76000</v>
      </c>
      <c r="I986" s="4">
        <v>-11400</v>
      </c>
      <c r="J986" s="5">
        <f t="shared" si="15"/>
        <v>64600</v>
      </c>
    </row>
    <row r="987" spans="1:10" x14ac:dyDescent="0.25">
      <c r="A987" s="6">
        <v>995</v>
      </c>
      <c r="B987" t="s">
        <v>2174</v>
      </c>
      <c r="C987" t="s">
        <v>913</v>
      </c>
      <c r="D987" t="s">
        <v>9</v>
      </c>
      <c r="E987" t="str">
        <f>VLOOKUP(D987,'Tên SP'!B$2:C$1070,2,0)</f>
        <v>NƯỚC GIẶT LIX ĐẬM ĐẶC 3,5KG/T04 TÚI</v>
      </c>
      <c r="F987" s="4">
        <v>88000</v>
      </c>
      <c r="G987">
        <v>1</v>
      </c>
      <c r="H987" s="4">
        <v>88000</v>
      </c>
      <c r="I987" s="4">
        <v>0</v>
      </c>
      <c r="J987" s="5">
        <f t="shared" si="15"/>
        <v>88000</v>
      </c>
    </row>
    <row r="988" spans="1:10" x14ac:dyDescent="0.25">
      <c r="A988" s="6">
        <v>996</v>
      </c>
      <c r="B988" t="s">
        <v>2175</v>
      </c>
      <c r="C988" t="s">
        <v>914</v>
      </c>
      <c r="D988" t="s">
        <v>102</v>
      </c>
      <c r="E988" t="str">
        <f>VLOOKUP(D988,'Tên SP'!B$2:C$1070,2,0)</f>
        <v>NƯỚC GIẶT LIX HƯƠNG NƯỚC HOA 3,5KG/T04 TÚI</v>
      </c>
      <c r="F988" s="4">
        <v>88000</v>
      </c>
      <c r="G988">
        <v>1</v>
      </c>
      <c r="H988" s="4">
        <v>88000</v>
      </c>
      <c r="I988" s="4">
        <v>-10000</v>
      </c>
      <c r="J988" s="5">
        <f t="shared" si="15"/>
        <v>78000</v>
      </c>
    </row>
    <row r="989" spans="1:10" x14ac:dyDescent="0.25">
      <c r="A989" s="6">
        <v>997</v>
      </c>
      <c r="B989" t="s">
        <v>2176</v>
      </c>
      <c r="C989" t="s">
        <v>915</v>
      </c>
      <c r="D989" t="s">
        <v>102</v>
      </c>
      <c r="E989" t="str">
        <f>VLOOKUP(D989,'Tên SP'!B$2:C$1070,2,0)</f>
        <v>NƯỚC GIẶT LIX HƯƠNG NƯỚC HOA 3,5KG/T04 TÚI</v>
      </c>
      <c r="F989" s="4">
        <v>88000</v>
      </c>
      <c r="G989">
        <v>1</v>
      </c>
      <c r="H989" s="4">
        <v>88000</v>
      </c>
      <c r="I989" s="4">
        <v>0</v>
      </c>
      <c r="J989" s="5">
        <f t="shared" si="15"/>
        <v>88000</v>
      </c>
    </row>
    <row r="990" spans="1:10" x14ac:dyDescent="0.25">
      <c r="A990" s="6">
        <v>998</v>
      </c>
      <c r="B990" t="s">
        <v>2177</v>
      </c>
      <c r="C990" t="s">
        <v>916</v>
      </c>
      <c r="D990" t="s">
        <v>9</v>
      </c>
      <c r="E990" t="str">
        <f>VLOOKUP(D990,'Tên SP'!B$2:C$1070,2,0)</f>
        <v>NƯỚC GIẶT LIX ĐẬM ĐẶC 3,5KG/T04 TÚI</v>
      </c>
      <c r="F990" s="4">
        <v>88000</v>
      </c>
      <c r="G990">
        <v>1</v>
      </c>
      <c r="H990" s="4">
        <v>88000</v>
      </c>
      <c r="I990" s="4">
        <v>-10000</v>
      </c>
      <c r="J990" s="5">
        <f t="shared" si="15"/>
        <v>78000</v>
      </c>
    </row>
    <row r="991" spans="1:10" x14ac:dyDescent="0.25">
      <c r="A991" s="6">
        <v>999</v>
      </c>
      <c r="B991" t="s">
        <v>2178</v>
      </c>
      <c r="C991" t="s">
        <v>917</v>
      </c>
      <c r="D991" t="s">
        <v>102</v>
      </c>
      <c r="E991" t="str">
        <f>VLOOKUP(D991,'Tên SP'!B$2:C$1070,2,0)</f>
        <v>NƯỚC GIẶT LIX HƯƠNG NƯỚC HOA 3,5KG/T04 TÚI</v>
      </c>
      <c r="F991" s="4">
        <v>88000</v>
      </c>
      <c r="G991">
        <v>1</v>
      </c>
      <c r="H991" s="4">
        <v>88000</v>
      </c>
      <c r="I991" s="4">
        <v>0</v>
      </c>
      <c r="J991" s="5">
        <f t="shared" si="15"/>
        <v>88000</v>
      </c>
    </row>
    <row r="992" spans="1:10" x14ac:dyDescent="0.25">
      <c r="A992" s="6">
        <v>1000</v>
      </c>
      <c r="B992" t="s">
        <v>2179</v>
      </c>
      <c r="C992" t="s">
        <v>918</v>
      </c>
      <c r="D992" t="s">
        <v>9</v>
      </c>
      <c r="E992" t="str">
        <f>VLOOKUP(D992,'Tên SP'!B$2:C$1070,2,0)</f>
        <v>NƯỚC GIẶT LIX ĐẬM ĐẶC 3,5KG/T04 TÚI</v>
      </c>
      <c r="F992" s="4">
        <v>88000</v>
      </c>
      <c r="G992">
        <v>1</v>
      </c>
      <c r="H992" s="4">
        <v>88000</v>
      </c>
      <c r="I992" s="4">
        <v>-10000</v>
      </c>
      <c r="J992" s="5">
        <f t="shared" si="15"/>
        <v>78000</v>
      </c>
    </row>
    <row r="993" spans="1:10" x14ac:dyDescent="0.25">
      <c r="A993" s="6">
        <v>1001</v>
      </c>
      <c r="B993" t="s">
        <v>2180</v>
      </c>
      <c r="C993" t="s">
        <v>919</v>
      </c>
      <c r="D993" t="s">
        <v>102</v>
      </c>
      <c r="E993" t="str">
        <f>VLOOKUP(D993,'Tên SP'!B$2:C$1070,2,0)</f>
        <v>NƯỚC GIẶT LIX HƯƠNG NƯỚC HOA 3,5KG/T04 TÚI</v>
      </c>
      <c r="F993" s="4">
        <v>88000</v>
      </c>
      <c r="G993">
        <v>1</v>
      </c>
      <c r="H993" s="4">
        <v>88000</v>
      </c>
      <c r="I993" s="4">
        <v>-8000</v>
      </c>
      <c r="J993" s="5">
        <f t="shared" si="15"/>
        <v>80000</v>
      </c>
    </row>
    <row r="994" spans="1:10" x14ac:dyDescent="0.25">
      <c r="A994" s="6">
        <v>1002</v>
      </c>
      <c r="B994" t="s">
        <v>2181</v>
      </c>
      <c r="C994" t="s">
        <v>920</v>
      </c>
      <c r="D994" t="s">
        <v>102</v>
      </c>
      <c r="E994" t="str">
        <f>VLOOKUP(D994,'Tên SP'!B$2:C$1070,2,0)</f>
        <v>NƯỚC GIẶT LIX HƯƠNG NƯỚC HOA 3,5KG/T04 TÚI</v>
      </c>
      <c r="F994" s="4">
        <v>88000</v>
      </c>
      <c r="G994">
        <v>1</v>
      </c>
      <c r="H994" s="4">
        <v>88000</v>
      </c>
      <c r="I994" s="4">
        <v>-8000</v>
      </c>
      <c r="J994" s="5">
        <f t="shared" si="15"/>
        <v>80000</v>
      </c>
    </row>
    <row r="995" spans="1:10" x14ac:dyDescent="0.25">
      <c r="A995" s="6">
        <v>1003</v>
      </c>
      <c r="B995" t="s">
        <v>2182</v>
      </c>
      <c r="C995" t="s">
        <v>921</v>
      </c>
      <c r="D995" t="s">
        <v>102</v>
      </c>
      <c r="E995" t="str">
        <f>VLOOKUP(D995,'Tên SP'!B$2:C$1070,2,0)</f>
        <v>NƯỚC GIẶT LIX HƯƠNG NƯỚC HOA 3,5KG/T04 TÚI</v>
      </c>
      <c r="F995" s="4">
        <v>88000</v>
      </c>
      <c r="G995">
        <v>1</v>
      </c>
      <c r="H995" s="4">
        <v>88000</v>
      </c>
      <c r="I995" s="4">
        <v>-8000</v>
      </c>
      <c r="J995" s="5">
        <f t="shared" si="15"/>
        <v>80000</v>
      </c>
    </row>
    <row r="996" spans="1:10" x14ac:dyDescent="0.25">
      <c r="A996" s="6">
        <v>1004</v>
      </c>
      <c r="B996" t="s">
        <v>2183</v>
      </c>
      <c r="C996" t="s">
        <v>922</v>
      </c>
      <c r="D996" t="s">
        <v>102</v>
      </c>
      <c r="E996" t="str">
        <f>VLOOKUP(D996,'Tên SP'!B$2:C$1070,2,0)</f>
        <v>NƯỚC GIẶT LIX HƯƠNG NƯỚC HOA 3,5KG/T04 TÚI</v>
      </c>
      <c r="F996" s="4">
        <v>88000</v>
      </c>
      <c r="G996">
        <v>1</v>
      </c>
      <c r="H996" s="4">
        <v>88000</v>
      </c>
      <c r="I996" s="4">
        <v>-8000</v>
      </c>
      <c r="J996" s="5">
        <f t="shared" si="15"/>
        <v>80000</v>
      </c>
    </row>
    <row r="997" spans="1:10" x14ac:dyDescent="0.25">
      <c r="A997" s="6">
        <v>1005</v>
      </c>
      <c r="B997" t="s">
        <v>2184</v>
      </c>
      <c r="C997" t="s">
        <v>923</v>
      </c>
      <c r="D997" t="s">
        <v>9</v>
      </c>
      <c r="E997" t="str">
        <f>VLOOKUP(D997,'Tên SP'!B$2:C$1070,2,0)</f>
        <v>NƯỚC GIẶT LIX ĐẬM ĐẶC 3,5KG/T04 TÚI</v>
      </c>
      <c r="F997" s="4">
        <v>92400</v>
      </c>
      <c r="G997">
        <v>1</v>
      </c>
      <c r="H997" s="4">
        <v>92400</v>
      </c>
      <c r="I997" s="4">
        <v>0</v>
      </c>
      <c r="J997" s="5">
        <f t="shared" si="15"/>
        <v>92400</v>
      </c>
    </row>
    <row r="998" spans="1:10" x14ac:dyDescent="0.25">
      <c r="A998" s="6">
        <v>1006</v>
      </c>
      <c r="B998" t="s">
        <v>2185</v>
      </c>
      <c r="C998" t="s">
        <v>924</v>
      </c>
      <c r="D998" t="s">
        <v>9</v>
      </c>
      <c r="E998" t="str">
        <f>VLOOKUP(D998,'Tên SP'!B$2:C$1070,2,0)</f>
        <v>NƯỚC GIẶT LIX ĐẬM ĐẶC 3,5KG/T04 TÚI</v>
      </c>
      <c r="F998" s="4">
        <v>92400</v>
      </c>
      <c r="G998">
        <v>1</v>
      </c>
      <c r="H998" s="4">
        <v>92400</v>
      </c>
      <c r="I998" s="4">
        <v>0</v>
      </c>
      <c r="J998" s="5">
        <f t="shared" si="15"/>
        <v>92400</v>
      </c>
    </row>
    <row r="999" spans="1:10" x14ac:dyDescent="0.25">
      <c r="A999" s="6">
        <v>1007</v>
      </c>
      <c r="B999" t="s">
        <v>2186</v>
      </c>
      <c r="C999" t="s">
        <v>925</v>
      </c>
      <c r="D999" t="s">
        <v>206</v>
      </c>
      <c r="E999" t="str">
        <f>VLOOKUP(D999,'Tên SP'!B$2:C$1070,2,0)</f>
        <v>NƯỚC GIẶT LIX MATIC HƯƠNG NƯỚC HOA 3,6KG/C04</v>
      </c>
      <c r="F999" s="4">
        <v>121800</v>
      </c>
      <c r="G999">
        <v>1</v>
      </c>
      <c r="H999" s="4">
        <v>121800</v>
      </c>
      <c r="I999" s="4">
        <v>-12544</v>
      </c>
      <c r="J999" s="5">
        <f t="shared" si="15"/>
        <v>109256</v>
      </c>
    </row>
    <row r="1000" spans="1:10" x14ac:dyDescent="0.25">
      <c r="A1000" s="6">
        <v>1008</v>
      </c>
      <c r="B1000" t="s">
        <v>2186</v>
      </c>
      <c r="C1000" t="s">
        <v>925</v>
      </c>
      <c r="D1000" t="s">
        <v>208</v>
      </c>
      <c r="E1000" t="str">
        <f>VLOOKUP(D1000,'Tên SP'!B$2:C$1070,2,0)</f>
        <v>NƯỚC GIẶT LIX MATIC HƯƠNG BAMBOO 3,6KG/C04</v>
      </c>
      <c r="F1000" s="4">
        <v>123200</v>
      </c>
      <c r="G1000">
        <v>1</v>
      </c>
      <c r="H1000" s="4">
        <v>123200</v>
      </c>
      <c r="I1000" s="4">
        <v>-12688</v>
      </c>
      <c r="J1000" s="5">
        <f t="shared" si="15"/>
        <v>110512</v>
      </c>
    </row>
    <row r="1001" spans="1:10" x14ac:dyDescent="0.25">
      <c r="A1001" s="6">
        <v>1009</v>
      </c>
      <c r="B1001" t="s">
        <v>2186</v>
      </c>
      <c r="C1001" t="s">
        <v>925</v>
      </c>
      <c r="D1001" t="s">
        <v>108</v>
      </c>
      <c r="E1001" t="str">
        <f>VLOOKUP(D1001,'Tên SP'!B$2:C$1070,2,0)</f>
        <v>NƯỚC GIẶT LIX SIÊU SẠCH HOA ANH ĐÀO 3.5KG/C04</v>
      </c>
      <c r="F1001" s="4">
        <v>111500</v>
      </c>
      <c r="G1001">
        <v>1</v>
      </c>
      <c r="H1001" s="4">
        <v>111500</v>
      </c>
      <c r="I1001" s="4">
        <v>-11483</v>
      </c>
      <c r="J1001" s="5">
        <f t="shared" si="15"/>
        <v>100017</v>
      </c>
    </row>
    <row r="1002" spans="1:10" x14ac:dyDescent="0.25">
      <c r="A1002" s="6">
        <v>1010</v>
      </c>
      <c r="B1002" t="s">
        <v>2186</v>
      </c>
      <c r="C1002" t="s">
        <v>925</v>
      </c>
      <c r="D1002" t="s">
        <v>44</v>
      </c>
      <c r="E1002" t="str">
        <f>VLOOKUP(D1002,'Tên SP'!B$2:C$1070,2,0)</f>
        <v>BỘT GIẶT LIXE CHANH 5,5KG/03</v>
      </c>
      <c r="F1002" s="4">
        <v>129000</v>
      </c>
      <c r="G1002">
        <v>1</v>
      </c>
      <c r="H1002" s="4">
        <v>129000</v>
      </c>
      <c r="I1002" s="4">
        <v>-13285</v>
      </c>
      <c r="J1002" s="5">
        <f t="shared" si="15"/>
        <v>115715</v>
      </c>
    </row>
    <row r="1003" spans="1:10" x14ac:dyDescent="0.25">
      <c r="A1003" s="6">
        <v>1011</v>
      </c>
      <c r="B1003" t="s">
        <v>2187</v>
      </c>
      <c r="C1003" t="s">
        <v>926</v>
      </c>
      <c r="D1003" t="s">
        <v>9</v>
      </c>
      <c r="E1003" t="str">
        <f>VLOOKUP(D1003,'Tên SP'!B$2:C$1070,2,0)</f>
        <v>NƯỚC GIẶT LIX ĐẬM ĐẶC 3,5KG/T04 TÚI</v>
      </c>
      <c r="F1003" s="4">
        <v>92400</v>
      </c>
      <c r="G1003">
        <v>1</v>
      </c>
      <c r="H1003" s="4">
        <v>92400</v>
      </c>
      <c r="I1003" s="4">
        <v>0</v>
      </c>
      <c r="J1003" s="5">
        <f t="shared" si="15"/>
        <v>92400</v>
      </c>
    </row>
    <row r="1004" spans="1:10" x14ac:dyDescent="0.25">
      <c r="A1004" s="6">
        <v>1012</v>
      </c>
      <c r="B1004" t="s">
        <v>2188</v>
      </c>
      <c r="C1004" t="s">
        <v>927</v>
      </c>
      <c r="D1004" t="s">
        <v>31</v>
      </c>
      <c r="E1004" t="str">
        <f>VLOOKUP(D1004,'Tên SP'!B$2:C$1070,2,0)</f>
        <v>BỘT GIẶT LIXE 5,5KG/03</v>
      </c>
      <c r="F1004" s="4">
        <v>129000</v>
      </c>
      <c r="G1004">
        <v>1</v>
      </c>
      <c r="H1004" s="4">
        <v>129000</v>
      </c>
      <c r="I1004" s="4">
        <v>0</v>
      </c>
      <c r="J1004" s="5">
        <f t="shared" si="15"/>
        <v>129000</v>
      </c>
    </row>
    <row r="1005" spans="1:10" x14ac:dyDescent="0.25">
      <c r="A1005" s="6">
        <v>1013</v>
      </c>
      <c r="B1005" t="s">
        <v>2189</v>
      </c>
      <c r="C1005" t="s">
        <v>928</v>
      </c>
      <c r="D1005" t="s">
        <v>97</v>
      </c>
      <c r="E1005" t="str">
        <f>VLOOKUP(D1005,'Tên SP'!B$2:C$1070,2,0)</f>
        <v>NƯỚC GIẶT LIX ĐẬM ĐẶC 3,6KG/C04</v>
      </c>
      <c r="F1005" s="4">
        <v>105600</v>
      </c>
      <c r="G1005">
        <v>1</v>
      </c>
      <c r="H1005" s="4">
        <v>105600</v>
      </c>
      <c r="I1005" s="4">
        <v>0</v>
      </c>
      <c r="J1005" s="5">
        <f t="shared" si="15"/>
        <v>105600</v>
      </c>
    </row>
    <row r="1006" spans="1:10" x14ac:dyDescent="0.25">
      <c r="A1006" s="6">
        <v>1014</v>
      </c>
      <c r="B1006" t="s">
        <v>2190</v>
      </c>
      <c r="C1006" t="s">
        <v>929</v>
      </c>
      <c r="D1006" t="s">
        <v>102</v>
      </c>
      <c r="E1006" t="str">
        <f>VLOOKUP(D1006,'Tên SP'!B$2:C$1070,2,0)</f>
        <v>NƯỚC GIẶT LIX HƯƠNG NƯỚC HOA 3,5KG/T04 TÚI</v>
      </c>
      <c r="F1006" s="4">
        <v>92400</v>
      </c>
      <c r="G1006">
        <v>1</v>
      </c>
      <c r="H1006" s="4">
        <v>92400</v>
      </c>
      <c r="I1006" s="4">
        <v>-4620</v>
      </c>
      <c r="J1006" s="5">
        <f t="shared" si="15"/>
        <v>87780</v>
      </c>
    </row>
    <row r="1007" spans="1:10" x14ac:dyDescent="0.25">
      <c r="A1007" s="6">
        <v>1015</v>
      </c>
      <c r="B1007" t="s">
        <v>2190</v>
      </c>
      <c r="C1007" t="s">
        <v>929</v>
      </c>
      <c r="D1007" t="s">
        <v>102</v>
      </c>
      <c r="E1007" t="str">
        <f>VLOOKUP(D1007,'Tên SP'!B$2:C$1070,2,0)</f>
        <v>NƯỚC GIẶT LIX HƯƠNG NƯỚC HOA 3,5KG/T04 TÚI</v>
      </c>
      <c r="F1007" s="4">
        <v>92400</v>
      </c>
      <c r="G1007">
        <v>1</v>
      </c>
      <c r="H1007" s="4">
        <v>92400</v>
      </c>
      <c r="I1007" s="4">
        <v>-4620</v>
      </c>
      <c r="J1007" s="5">
        <f t="shared" si="15"/>
        <v>87780</v>
      </c>
    </row>
    <row r="1008" spans="1:10" x14ac:dyDescent="0.25">
      <c r="A1008" s="6">
        <v>1016</v>
      </c>
      <c r="B1008" t="s">
        <v>2190</v>
      </c>
      <c r="C1008" t="s">
        <v>929</v>
      </c>
      <c r="D1008" t="s">
        <v>102</v>
      </c>
      <c r="E1008" t="str">
        <f>VLOOKUP(D1008,'Tên SP'!B$2:C$1070,2,0)</f>
        <v>NƯỚC GIẶT LIX HƯƠNG NƯỚC HOA 3,5KG/T04 TÚI</v>
      </c>
      <c r="F1008" s="4">
        <v>92400</v>
      </c>
      <c r="G1008">
        <v>1</v>
      </c>
      <c r="H1008" s="4">
        <v>92400</v>
      </c>
      <c r="I1008" s="4">
        <v>-4620</v>
      </c>
      <c r="J1008" s="5">
        <f t="shared" si="15"/>
        <v>87780</v>
      </c>
    </row>
    <row r="1009" spans="1:10" x14ac:dyDescent="0.25">
      <c r="A1009" s="6">
        <v>1017</v>
      </c>
      <c r="B1009" t="s">
        <v>2190</v>
      </c>
      <c r="C1009" t="s">
        <v>929</v>
      </c>
      <c r="D1009" t="s">
        <v>102</v>
      </c>
      <c r="E1009" t="str">
        <f>VLOOKUP(D1009,'Tên SP'!B$2:C$1070,2,0)</f>
        <v>NƯỚC GIẶT LIX HƯƠNG NƯỚC HOA 3,5KG/T04 TÚI</v>
      </c>
      <c r="F1009" s="4">
        <v>92400</v>
      </c>
      <c r="G1009">
        <v>1</v>
      </c>
      <c r="H1009" s="4">
        <v>92400</v>
      </c>
      <c r="I1009" s="4">
        <v>-4620</v>
      </c>
      <c r="J1009" s="5">
        <f t="shared" si="15"/>
        <v>87780</v>
      </c>
    </row>
    <row r="1010" spans="1:10" x14ac:dyDescent="0.25">
      <c r="A1010" s="6">
        <v>1018</v>
      </c>
      <c r="B1010" t="s">
        <v>2191</v>
      </c>
      <c r="C1010" t="s">
        <v>930</v>
      </c>
      <c r="D1010" t="s">
        <v>9</v>
      </c>
      <c r="E1010" t="str">
        <f>VLOOKUP(D1010,'Tên SP'!B$2:C$1070,2,0)</f>
        <v>NƯỚC GIẶT LIX ĐẬM ĐẶC 3,5KG/T04 TÚI</v>
      </c>
      <c r="F1010" s="4">
        <v>92400</v>
      </c>
      <c r="G1010">
        <v>1</v>
      </c>
      <c r="H1010" s="4">
        <v>92400</v>
      </c>
      <c r="I1010" s="4">
        <v>0</v>
      </c>
      <c r="J1010" s="5">
        <f t="shared" si="15"/>
        <v>92400</v>
      </c>
    </row>
    <row r="1011" spans="1:10" x14ac:dyDescent="0.25">
      <c r="A1011" s="6">
        <v>1019</v>
      </c>
      <c r="B1011" t="s">
        <v>2192</v>
      </c>
      <c r="C1011" t="s">
        <v>931</v>
      </c>
      <c r="D1011" t="s">
        <v>104</v>
      </c>
      <c r="E1011" t="str">
        <f>VLOOKUP(D1011,'Tên SP'!B$2:C$1070,2,0)</f>
        <v>NƯỚC GIẶT LIX ĐẬM ĐẶC 2KG/C06</v>
      </c>
      <c r="F1011" s="4">
        <v>66900</v>
      </c>
      <c r="G1011">
        <v>1</v>
      </c>
      <c r="H1011" s="4">
        <v>66900</v>
      </c>
      <c r="I1011" s="4">
        <v>-10000</v>
      </c>
      <c r="J1011" s="5">
        <f t="shared" si="15"/>
        <v>56900</v>
      </c>
    </row>
    <row r="1012" spans="1:10" x14ac:dyDescent="0.25">
      <c r="A1012" s="6">
        <v>1020</v>
      </c>
      <c r="B1012" t="s">
        <v>2193</v>
      </c>
      <c r="C1012" t="s">
        <v>932</v>
      </c>
      <c r="D1012" t="s">
        <v>108</v>
      </c>
      <c r="E1012" t="str">
        <f>VLOOKUP(D1012,'Tên SP'!B$2:C$1070,2,0)</f>
        <v>NƯỚC GIẶT LIX SIÊU SẠCH HOA ANH ĐÀO 3.5KG/C04</v>
      </c>
      <c r="F1012" s="4">
        <v>111500</v>
      </c>
      <c r="G1012">
        <v>1</v>
      </c>
      <c r="H1012" s="4">
        <v>111500</v>
      </c>
      <c r="I1012" s="4">
        <v>-3541</v>
      </c>
      <c r="J1012" s="5">
        <f t="shared" si="15"/>
        <v>107959</v>
      </c>
    </row>
    <row r="1013" spans="1:10" x14ac:dyDescent="0.25">
      <c r="A1013" s="6">
        <v>1021</v>
      </c>
      <c r="B1013" t="s">
        <v>2193</v>
      </c>
      <c r="C1013" t="s">
        <v>932</v>
      </c>
      <c r="D1013" t="s">
        <v>95</v>
      </c>
      <c r="E1013" t="str">
        <f>VLOOKUP(D1013,'Tên SP'!B$2:C$1070,2,0)</f>
        <v>NƯỚC LAU SÀN LIX ĐUỐI CÔN TRÙNG 1L/CH12</v>
      </c>
      <c r="F1013" s="4">
        <v>39000</v>
      </c>
      <c r="G1013">
        <v>1</v>
      </c>
      <c r="H1013" s="4">
        <v>39000</v>
      </c>
      <c r="I1013" s="4">
        <v>-1239</v>
      </c>
      <c r="J1013" s="5">
        <f t="shared" si="15"/>
        <v>37761</v>
      </c>
    </row>
    <row r="1014" spans="1:10" x14ac:dyDescent="0.25">
      <c r="A1014" s="6">
        <v>1022</v>
      </c>
      <c r="B1014" t="s">
        <v>2193</v>
      </c>
      <c r="C1014" t="s">
        <v>932</v>
      </c>
      <c r="D1014" t="s">
        <v>81</v>
      </c>
      <c r="E1014" t="str">
        <f>VLOOKUP(D1014,'Tên SP'!B$2:C$1070,2,0)</f>
        <v>NƯỚC RỬA CHÉN SIÊU SẠCH TRÀ 3,5KG/T04- TÚI</v>
      </c>
      <c r="F1014" s="4">
        <v>72000</v>
      </c>
      <c r="G1014">
        <v>1</v>
      </c>
      <c r="H1014" s="4">
        <v>72000</v>
      </c>
      <c r="I1014" s="4">
        <v>-2286</v>
      </c>
      <c r="J1014" s="5">
        <f t="shared" si="15"/>
        <v>69714</v>
      </c>
    </row>
    <row r="1015" spans="1:10" x14ac:dyDescent="0.25">
      <c r="A1015" s="6">
        <v>1023</v>
      </c>
      <c r="B1015" t="s">
        <v>2193</v>
      </c>
      <c r="C1015" t="s">
        <v>932</v>
      </c>
      <c r="D1015" t="s">
        <v>102</v>
      </c>
      <c r="E1015" t="str">
        <f>VLOOKUP(D1015,'Tên SP'!B$2:C$1070,2,0)</f>
        <v>NƯỚC GIẶT LIX HƯƠNG NƯỚC HOA 3,5KG/T04 TÚI</v>
      </c>
      <c r="F1015" s="4">
        <v>92400</v>
      </c>
      <c r="G1015">
        <v>1</v>
      </c>
      <c r="H1015" s="4">
        <v>92400</v>
      </c>
      <c r="I1015" s="4">
        <v>-2934</v>
      </c>
      <c r="J1015" s="5">
        <f t="shared" si="15"/>
        <v>89466</v>
      </c>
    </row>
    <row r="1016" spans="1:10" x14ac:dyDescent="0.25">
      <c r="A1016" s="6">
        <v>1024</v>
      </c>
      <c r="B1016" t="s">
        <v>2194</v>
      </c>
      <c r="C1016" t="s">
        <v>933</v>
      </c>
      <c r="D1016" t="s">
        <v>9</v>
      </c>
      <c r="E1016" t="str">
        <f>VLOOKUP(D1016,'Tên SP'!B$2:C$1070,2,0)</f>
        <v>NƯỚC GIẶT LIX ĐẬM ĐẶC 3,5KG/T04 TÚI</v>
      </c>
      <c r="F1016" s="4">
        <v>92400</v>
      </c>
      <c r="G1016">
        <v>1</v>
      </c>
      <c r="H1016" s="4">
        <v>92400</v>
      </c>
      <c r="I1016" s="4">
        <v>0</v>
      </c>
      <c r="J1016" s="5">
        <f t="shared" si="15"/>
        <v>92400</v>
      </c>
    </row>
    <row r="1017" spans="1:10" x14ac:dyDescent="0.25">
      <c r="A1017" s="6">
        <v>1025</v>
      </c>
      <c r="B1017" t="s">
        <v>2194</v>
      </c>
      <c r="C1017" t="s">
        <v>933</v>
      </c>
      <c r="D1017" t="s">
        <v>9</v>
      </c>
      <c r="E1017" t="str">
        <f>VLOOKUP(D1017,'Tên SP'!B$2:C$1070,2,0)</f>
        <v>NƯỚC GIẶT LIX ĐẬM ĐẶC 3,5KG/T04 TÚI</v>
      </c>
      <c r="F1017" s="4">
        <v>92400</v>
      </c>
      <c r="G1017">
        <v>1</v>
      </c>
      <c r="H1017" s="4">
        <v>92400</v>
      </c>
      <c r="I1017" s="4">
        <v>0</v>
      </c>
      <c r="J1017" s="5">
        <f t="shared" si="15"/>
        <v>92400</v>
      </c>
    </row>
    <row r="1018" spans="1:10" x14ac:dyDescent="0.25">
      <c r="A1018" s="6">
        <v>1026</v>
      </c>
      <c r="B1018" t="s">
        <v>2195</v>
      </c>
      <c r="C1018" t="s">
        <v>934</v>
      </c>
      <c r="D1018" t="s">
        <v>102</v>
      </c>
      <c r="E1018" t="str">
        <f>VLOOKUP(D1018,'Tên SP'!B$2:C$1070,2,0)</f>
        <v>NƯỚC GIẶT LIX HƯƠNG NƯỚC HOA 3,5KG/T04 TÚI</v>
      </c>
      <c r="F1018" s="4">
        <v>88000</v>
      </c>
      <c r="G1018">
        <v>1</v>
      </c>
      <c r="H1018" s="4">
        <v>88000</v>
      </c>
      <c r="I1018" s="4">
        <v>0</v>
      </c>
      <c r="J1018" s="5">
        <f t="shared" ref="J1018:J1081" si="16">H1018+I1018</f>
        <v>88000</v>
      </c>
    </row>
    <row r="1019" spans="1:10" x14ac:dyDescent="0.25">
      <c r="A1019" s="6">
        <v>1027</v>
      </c>
      <c r="B1019" t="s">
        <v>2196</v>
      </c>
      <c r="C1019" t="s">
        <v>935</v>
      </c>
      <c r="D1019" t="s">
        <v>102</v>
      </c>
      <c r="E1019" t="str">
        <f>VLOOKUP(D1019,'Tên SP'!B$2:C$1070,2,0)</f>
        <v>NƯỚC GIẶT LIX HƯƠNG NƯỚC HOA 3,5KG/T04 TÚI</v>
      </c>
      <c r="F1019" s="4">
        <v>88000</v>
      </c>
      <c r="G1019">
        <v>1</v>
      </c>
      <c r="H1019" s="4">
        <v>88000</v>
      </c>
      <c r="I1019" s="4">
        <v>-8250</v>
      </c>
      <c r="J1019" s="5">
        <f t="shared" si="16"/>
        <v>79750</v>
      </c>
    </row>
    <row r="1020" spans="1:10" x14ac:dyDescent="0.25">
      <c r="A1020" s="6">
        <v>1028</v>
      </c>
      <c r="B1020" t="s">
        <v>2196</v>
      </c>
      <c r="C1020" t="s">
        <v>935</v>
      </c>
      <c r="D1020" t="s">
        <v>81</v>
      </c>
      <c r="E1020" t="str">
        <f>VLOOKUP(D1020,'Tên SP'!B$2:C$1070,2,0)</f>
        <v>NƯỚC RỬA CHÉN SIÊU SẠCH TRÀ 3,5KG/T04- TÚI</v>
      </c>
      <c r="F1020" s="4">
        <v>72000</v>
      </c>
      <c r="G1020">
        <v>1</v>
      </c>
      <c r="H1020" s="4">
        <v>72000</v>
      </c>
      <c r="I1020" s="4">
        <v>-6750</v>
      </c>
      <c r="J1020" s="5">
        <f t="shared" si="16"/>
        <v>65250</v>
      </c>
    </row>
    <row r="1021" spans="1:10" x14ac:dyDescent="0.25">
      <c r="A1021" s="6">
        <v>1029</v>
      </c>
      <c r="B1021" t="s">
        <v>2197</v>
      </c>
      <c r="C1021" t="s">
        <v>936</v>
      </c>
      <c r="D1021" t="s">
        <v>102</v>
      </c>
      <c r="E1021" t="str">
        <f>VLOOKUP(D1021,'Tên SP'!B$2:C$1070,2,0)</f>
        <v>NƯỚC GIẶT LIX HƯƠNG NƯỚC HOA 3,5KG/T04 TÚI</v>
      </c>
      <c r="F1021" s="4">
        <v>88000</v>
      </c>
      <c r="G1021">
        <v>1</v>
      </c>
      <c r="H1021" s="4">
        <v>88000</v>
      </c>
      <c r="I1021" s="4">
        <v>-10000</v>
      </c>
      <c r="J1021" s="5">
        <f t="shared" si="16"/>
        <v>78000</v>
      </c>
    </row>
    <row r="1022" spans="1:10" x14ac:dyDescent="0.25">
      <c r="A1022" s="6">
        <v>1030</v>
      </c>
      <c r="B1022" t="s">
        <v>2198</v>
      </c>
      <c r="C1022" t="s">
        <v>937</v>
      </c>
      <c r="D1022" t="s">
        <v>102</v>
      </c>
      <c r="E1022" t="str">
        <f>VLOOKUP(D1022,'Tên SP'!B$2:C$1070,2,0)</f>
        <v>NƯỚC GIẶT LIX HƯƠNG NƯỚC HOA 3,5KG/T04 TÚI</v>
      </c>
      <c r="F1022" s="4">
        <v>88000</v>
      </c>
      <c r="G1022">
        <v>1</v>
      </c>
      <c r="H1022" s="4">
        <v>88000</v>
      </c>
      <c r="I1022" s="4">
        <v>-10000</v>
      </c>
      <c r="J1022" s="5">
        <f t="shared" si="16"/>
        <v>78000</v>
      </c>
    </row>
    <row r="1023" spans="1:10" x14ac:dyDescent="0.25">
      <c r="A1023" s="6">
        <v>1031</v>
      </c>
      <c r="B1023" t="s">
        <v>2199</v>
      </c>
      <c r="C1023" t="s">
        <v>938</v>
      </c>
      <c r="D1023" t="s">
        <v>28</v>
      </c>
      <c r="E1023" t="str">
        <f>VLOOKUP(D1023,'Tên SP'!B$2:C$1070,2,0)</f>
        <v>NƯỚC XẢ VẢI LIXSOFT HƯƠNG HOA HỒNG 3,6L/C04</v>
      </c>
      <c r="F1023" s="4">
        <v>80224</v>
      </c>
      <c r="G1023">
        <v>1</v>
      </c>
      <c r="H1023" s="4">
        <v>80224</v>
      </c>
      <c r="I1023" s="4">
        <v>0</v>
      </c>
      <c r="J1023" s="5">
        <f t="shared" si="16"/>
        <v>80224</v>
      </c>
    </row>
    <row r="1024" spans="1:10" x14ac:dyDescent="0.25">
      <c r="A1024" s="6">
        <v>1032</v>
      </c>
      <c r="B1024" t="s">
        <v>2200</v>
      </c>
      <c r="C1024" t="s">
        <v>939</v>
      </c>
      <c r="D1024" t="s">
        <v>106</v>
      </c>
      <c r="E1024" t="str">
        <f>VLOOKUP(D1024,'Tên SP'!B$2:C$1070,2,0)</f>
        <v>NƯỚC GIẶT LIX SIÊU SẠCH HOA ANH ĐÀO 2.4KG/T06</v>
      </c>
      <c r="F1024" s="4">
        <v>60030</v>
      </c>
      <c r="G1024">
        <v>1</v>
      </c>
      <c r="H1024" s="4">
        <v>60030</v>
      </c>
      <c r="I1024" s="4">
        <v>0</v>
      </c>
      <c r="J1024" s="5">
        <f t="shared" si="16"/>
        <v>60030</v>
      </c>
    </row>
    <row r="1025" spans="1:10" x14ac:dyDescent="0.25">
      <c r="A1025" s="6">
        <v>1033</v>
      </c>
      <c r="B1025" t="s">
        <v>2200</v>
      </c>
      <c r="C1025" t="s">
        <v>939</v>
      </c>
      <c r="D1025" t="s">
        <v>106</v>
      </c>
      <c r="E1025" t="str">
        <f>VLOOKUP(D1025,'Tên SP'!B$2:C$1070,2,0)</f>
        <v>NƯỚC GIẶT LIX SIÊU SẠCH HOA ANH ĐÀO 2.4KG/T06</v>
      </c>
      <c r="F1025" s="4">
        <v>60030</v>
      </c>
      <c r="G1025">
        <v>1</v>
      </c>
      <c r="H1025" s="4">
        <v>60030</v>
      </c>
      <c r="I1025" s="4">
        <v>0</v>
      </c>
      <c r="J1025" s="5">
        <f t="shared" si="16"/>
        <v>60030</v>
      </c>
    </row>
    <row r="1026" spans="1:10" x14ac:dyDescent="0.25">
      <c r="A1026" s="6">
        <v>1034</v>
      </c>
      <c r="B1026" t="s">
        <v>2200</v>
      </c>
      <c r="C1026" t="s">
        <v>939</v>
      </c>
      <c r="D1026" t="s">
        <v>106</v>
      </c>
      <c r="E1026" t="str">
        <f>VLOOKUP(D1026,'Tên SP'!B$2:C$1070,2,0)</f>
        <v>NƯỚC GIẶT LIX SIÊU SẠCH HOA ANH ĐÀO 2.4KG/T06</v>
      </c>
      <c r="F1026" s="4">
        <v>60030</v>
      </c>
      <c r="G1026">
        <v>1</v>
      </c>
      <c r="H1026" s="4">
        <v>60030</v>
      </c>
      <c r="I1026" s="4">
        <v>0</v>
      </c>
      <c r="J1026" s="5">
        <f t="shared" si="16"/>
        <v>60030</v>
      </c>
    </row>
    <row r="1027" spans="1:10" x14ac:dyDescent="0.25">
      <c r="A1027" s="6">
        <v>1035</v>
      </c>
      <c r="B1027" t="s">
        <v>2201</v>
      </c>
      <c r="C1027" t="s">
        <v>940</v>
      </c>
      <c r="D1027" t="s">
        <v>102</v>
      </c>
      <c r="E1027" t="str">
        <f>VLOOKUP(D1027,'Tên SP'!B$2:C$1070,2,0)</f>
        <v>NƯỚC GIẶT LIX HƯƠNG NƯỚC HOA 3,5KG/T04 TÚI</v>
      </c>
      <c r="F1027" s="4">
        <v>88000</v>
      </c>
      <c r="G1027">
        <v>1</v>
      </c>
      <c r="H1027" s="4">
        <v>88000</v>
      </c>
      <c r="I1027" s="4">
        <v>0</v>
      </c>
      <c r="J1027" s="5">
        <f t="shared" si="16"/>
        <v>88000</v>
      </c>
    </row>
    <row r="1028" spans="1:10" x14ac:dyDescent="0.25">
      <c r="A1028" s="6">
        <v>1036</v>
      </c>
      <c r="B1028" t="s">
        <v>2202</v>
      </c>
      <c r="C1028" t="s">
        <v>941</v>
      </c>
      <c r="D1028" t="s">
        <v>97</v>
      </c>
      <c r="E1028" t="str">
        <f>VLOOKUP(D1028,'Tên SP'!B$2:C$1070,2,0)</f>
        <v>NƯỚC GIẶT LIX ĐẬM ĐẶC 3,6KG/C04</v>
      </c>
      <c r="F1028" s="4">
        <v>105600</v>
      </c>
      <c r="G1028">
        <v>1</v>
      </c>
      <c r="H1028" s="4">
        <v>105600</v>
      </c>
      <c r="I1028" s="4">
        <v>-10345</v>
      </c>
      <c r="J1028" s="5">
        <f t="shared" si="16"/>
        <v>95255</v>
      </c>
    </row>
    <row r="1029" spans="1:10" x14ac:dyDescent="0.25">
      <c r="A1029" s="6">
        <v>1037</v>
      </c>
      <c r="B1029" t="s">
        <v>2202</v>
      </c>
      <c r="C1029" t="s">
        <v>941</v>
      </c>
      <c r="D1029" t="s">
        <v>97</v>
      </c>
      <c r="E1029" t="str">
        <f>VLOOKUP(D1029,'Tên SP'!B$2:C$1070,2,0)</f>
        <v>NƯỚC GIẶT LIX ĐẬM ĐẶC 3,6KG/C04</v>
      </c>
      <c r="F1029" s="4">
        <v>105600</v>
      </c>
      <c r="G1029">
        <v>1</v>
      </c>
      <c r="H1029" s="4">
        <v>105600</v>
      </c>
      <c r="I1029" s="4">
        <v>-10345</v>
      </c>
      <c r="J1029" s="5">
        <f t="shared" si="16"/>
        <v>95255</v>
      </c>
    </row>
    <row r="1030" spans="1:10" x14ac:dyDescent="0.25">
      <c r="A1030" s="6">
        <v>1038</v>
      </c>
      <c r="B1030" t="s">
        <v>2202</v>
      </c>
      <c r="C1030" t="s">
        <v>941</v>
      </c>
      <c r="D1030" t="s">
        <v>97</v>
      </c>
      <c r="E1030" t="str">
        <f>VLOOKUP(D1030,'Tên SP'!B$2:C$1070,2,0)</f>
        <v>NƯỚC GIẶT LIX ĐẬM ĐẶC 3,6KG/C04</v>
      </c>
      <c r="F1030" s="4">
        <v>105600</v>
      </c>
      <c r="G1030">
        <v>1</v>
      </c>
      <c r="H1030" s="4">
        <v>105600</v>
      </c>
      <c r="I1030" s="4">
        <v>-10345</v>
      </c>
      <c r="J1030" s="5">
        <f t="shared" si="16"/>
        <v>95255</v>
      </c>
    </row>
    <row r="1031" spans="1:10" x14ac:dyDescent="0.25">
      <c r="A1031" s="6">
        <v>1039</v>
      </c>
      <c r="B1031" t="s">
        <v>2202</v>
      </c>
      <c r="C1031" t="s">
        <v>941</v>
      </c>
      <c r="D1031" t="s">
        <v>97</v>
      </c>
      <c r="E1031" t="str">
        <f>VLOOKUP(D1031,'Tên SP'!B$2:C$1070,2,0)</f>
        <v>NƯỚC GIẶT LIX ĐẬM ĐẶC 3,6KG/C04</v>
      </c>
      <c r="F1031" s="4">
        <v>105600</v>
      </c>
      <c r="G1031">
        <v>1</v>
      </c>
      <c r="H1031" s="4">
        <v>105600</v>
      </c>
      <c r="I1031" s="4">
        <v>-10345</v>
      </c>
      <c r="J1031" s="5">
        <f t="shared" si="16"/>
        <v>95255</v>
      </c>
    </row>
    <row r="1032" spans="1:10" x14ac:dyDescent="0.25">
      <c r="A1032" s="6">
        <v>1040</v>
      </c>
      <c r="B1032" t="s">
        <v>2202</v>
      </c>
      <c r="C1032" t="s">
        <v>941</v>
      </c>
      <c r="D1032" t="s">
        <v>102</v>
      </c>
      <c r="E1032" t="str">
        <f>VLOOKUP(D1032,'Tên SP'!B$2:C$1070,2,0)</f>
        <v>NƯỚC GIẶT LIX HƯƠNG NƯỚC HOA 3,5KG/T04 TÚI</v>
      </c>
      <c r="F1032" s="4">
        <v>88000</v>
      </c>
      <c r="G1032">
        <v>1</v>
      </c>
      <c r="H1032" s="4">
        <v>88000</v>
      </c>
      <c r="I1032" s="4">
        <v>-8620</v>
      </c>
      <c r="J1032" s="5">
        <f t="shared" si="16"/>
        <v>79380</v>
      </c>
    </row>
    <row r="1033" spans="1:10" x14ac:dyDescent="0.25">
      <c r="A1033" s="6">
        <v>1041</v>
      </c>
      <c r="B1033" t="s">
        <v>2203</v>
      </c>
      <c r="C1033" t="s">
        <v>942</v>
      </c>
      <c r="D1033" t="s">
        <v>23</v>
      </c>
      <c r="E1033" t="str">
        <f>VLOOKUP(D1033,'Tên SP'!B$2:C$1070,2,0)</f>
        <v>NƯỚC XẢ VẢI LIXSOFT 3,6L/C04</v>
      </c>
      <c r="F1033" s="4">
        <v>80224</v>
      </c>
      <c r="G1033">
        <v>1</v>
      </c>
      <c r="H1033" s="4">
        <v>80224</v>
      </c>
      <c r="I1033" s="4">
        <v>0</v>
      </c>
      <c r="J1033" s="5">
        <f t="shared" si="16"/>
        <v>80224</v>
      </c>
    </row>
    <row r="1034" spans="1:10" x14ac:dyDescent="0.25">
      <c r="A1034" s="6">
        <v>1042</v>
      </c>
      <c r="B1034" t="s">
        <v>2204</v>
      </c>
      <c r="C1034" t="s">
        <v>943</v>
      </c>
      <c r="D1034" t="s">
        <v>102</v>
      </c>
      <c r="E1034" t="str">
        <f>VLOOKUP(D1034,'Tên SP'!B$2:C$1070,2,0)</f>
        <v>NƯỚC GIẶT LIX HƯƠNG NƯỚC HOA 3,5KG/T04 TÚI</v>
      </c>
      <c r="F1034" s="4">
        <v>88000</v>
      </c>
      <c r="G1034">
        <v>1</v>
      </c>
      <c r="H1034" s="4">
        <v>88000</v>
      </c>
      <c r="I1034" s="4">
        <v>-4400</v>
      </c>
      <c r="J1034" s="5">
        <f t="shared" si="16"/>
        <v>83600</v>
      </c>
    </row>
    <row r="1035" spans="1:10" x14ac:dyDescent="0.25">
      <c r="A1035" s="6">
        <v>1043</v>
      </c>
      <c r="B1035" t="s">
        <v>2204</v>
      </c>
      <c r="C1035" t="s">
        <v>943</v>
      </c>
      <c r="D1035" t="s">
        <v>102</v>
      </c>
      <c r="E1035" t="str">
        <f>VLOOKUP(D1035,'Tên SP'!B$2:C$1070,2,0)</f>
        <v>NƯỚC GIẶT LIX HƯƠNG NƯỚC HOA 3,5KG/T04 TÚI</v>
      </c>
      <c r="F1035" s="4">
        <v>88000</v>
      </c>
      <c r="G1035">
        <v>1</v>
      </c>
      <c r="H1035" s="4">
        <v>88000</v>
      </c>
      <c r="I1035" s="4">
        <v>-4400</v>
      </c>
      <c r="J1035" s="5">
        <f t="shared" si="16"/>
        <v>83600</v>
      </c>
    </row>
    <row r="1036" spans="1:10" x14ac:dyDescent="0.25">
      <c r="A1036" s="6">
        <v>1044</v>
      </c>
      <c r="B1036" t="s">
        <v>2204</v>
      </c>
      <c r="C1036" t="s">
        <v>943</v>
      </c>
      <c r="D1036" t="s">
        <v>102</v>
      </c>
      <c r="E1036" t="str">
        <f>VLOOKUP(D1036,'Tên SP'!B$2:C$1070,2,0)</f>
        <v>NƯỚC GIẶT LIX HƯƠNG NƯỚC HOA 3,5KG/T04 TÚI</v>
      </c>
      <c r="F1036" s="4">
        <v>88000</v>
      </c>
      <c r="G1036">
        <v>1</v>
      </c>
      <c r="H1036" s="4">
        <v>88000</v>
      </c>
      <c r="I1036" s="4">
        <v>-4400</v>
      </c>
      <c r="J1036" s="5">
        <f t="shared" si="16"/>
        <v>83600</v>
      </c>
    </row>
    <row r="1037" spans="1:10" x14ac:dyDescent="0.25">
      <c r="A1037" s="6">
        <v>1045</v>
      </c>
      <c r="B1037" t="s">
        <v>2204</v>
      </c>
      <c r="C1037" t="s">
        <v>943</v>
      </c>
      <c r="D1037" t="s">
        <v>102</v>
      </c>
      <c r="E1037" t="str">
        <f>VLOOKUP(D1037,'Tên SP'!B$2:C$1070,2,0)</f>
        <v>NƯỚC GIẶT LIX HƯƠNG NƯỚC HOA 3,5KG/T04 TÚI</v>
      </c>
      <c r="F1037" s="4">
        <v>88000</v>
      </c>
      <c r="G1037">
        <v>1</v>
      </c>
      <c r="H1037" s="4">
        <v>88000</v>
      </c>
      <c r="I1037" s="4">
        <v>-4400</v>
      </c>
      <c r="J1037" s="5">
        <f t="shared" si="16"/>
        <v>83600</v>
      </c>
    </row>
    <row r="1038" spans="1:10" x14ac:dyDescent="0.25">
      <c r="A1038" s="6">
        <v>1046</v>
      </c>
      <c r="B1038" t="s">
        <v>2205</v>
      </c>
      <c r="C1038" t="s">
        <v>944</v>
      </c>
      <c r="D1038" t="s">
        <v>97</v>
      </c>
      <c r="E1038" t="str">
        <f>VLOOKUP(D1038,'Tên SP'!B$2:C$1070,2,0)</f>
        <v>NƯỚC GIẶT LIX ĐẬM ĐẶC 3,6KG/C04</v>
      </c>
      <c r="F1038" s="4">
        <v>105600</v>
      </c>
      <c r="G1038">
        <v>1</v>
      </c>
      <c r="H1038" s="4">
        <v>105600</v>
      </c>
      <c r="I1038" s="4">
        <v>0</v>
      </c>
      <c r="J1038" s="5">
        <f t="shared" si="16"/>
        <v>105600</v>
      </c>
    </row>
    <row r="1039" spans="1:10" x14ac:dyDescent="0.25">
      <c r="A1039" s="6">
        <v>1047</v>
      </c>
      <c r="B1039" t="s">
        <v>2205</v>
      </c>
      <c r="C1039" t="s">
        <v>944</v>
      </c>
      <c r="D1039" t="s">
        <v>97</v>
      </c>
      <c r="E1039" t="str">
        <f>VLOOKUP(D1039,'Tên SP'!B$2:C$1070,2,0)</f>
        <v>NƯỚC GIẶT LIX ĐẬM ĐẶC 3,6KG/C04</v>
      </c>
      <c r="F1039" s="4">
        <v>105600</v>
      </c>
      <c r="G1039">
        <v>1</v>
      </c>
      <c r="H1039" s="4">
        <v>105600</v>
      </c>
      <c r="I1039" s="4">
        <v>0</v>
      </c>
      <c r="J1039" s="5">
        <f t="shared" si="16"/>
        <v>105600</v>
      </c>
    </row>
    <row r="1040" spans="1:10" x14ac:dyDescent="0.25">
      <c r="A1040" s="6">
        <v>1048</v>
      </c>
      <c r="B1040" t="s">
        <v>2206</v>
      </c>
      <c r="C1040" t="s">
        <v>945</v>
      </c>
      <c r="D1040" t="s">
        <v>158</v>
      </c>
      <c r="E1040" t="str">
        <f>VLOOKUP(D1040,'Tên SP'!B$2:C$1070,2,0)</f>
        <v>NƯỚC GIẶT XẢ ON1 BAMBOO CHARCOAL 3,5KG/T04 (TÚI)</v>
      </c>
      <c r="F1040" s="4">
        <v>132000</v>
      </c>
      <c r="G1040">
        <v>1</v>
      </c>
      <c r="H1040" s="4">
        <v>132000</v>
      </c>
      <c r="I1040" s="4">
        <v>-20420</v>
      </c>
      <c r="J1040" s="5">
        <f t="shared" si="16"/>
        <v>111580</v>
      </c>
    </row>
    <row r="1041" spans="1:10" x14ac:dyDescent="0.25">
      <c r="A1041" s="6">
        <v>1049</v>
      </c>
      <c r="B1041" t="s">
        <v>2206</v>
      </c>
      <c r="C1041" t="s">
        <v>945</v>
      </c>
      <c r="D1041" t="s">
        <v>158</v>
      </c>
      <c r="E1041" t="str">
        <f>VLOOKUP(D1041,'Tên SP'!B$2:C$1070,2,0)</f>
        <v>NƯỚC GIẶT XẢ ON1 BAMBOO CHARCOAL 3,5KG/T04 (TÚI)</v>
      </c>
      <c r="F1041" s="4">
        <v>132000</v>
      </c>
      <c r="G1041">
        <v>1</v>
      </c>
      <c r="H1041" s="4">
        <v>132000</v>
      </c>
      <c r="I1041" s="4">
        <v>-20420</v>
      </c>
      <c r="J1041" s="5">
        <f t="shared" si="16"/>
        <v>111580</v>
      </c>
    </row>
    <row r="1042" spans="1:10" x14ac:dyDescent="0.25">
      <c r="A1042" s="6">
        <v>1050</v>
      </c>
      <c r="B1042" t="s">
        <v>2206</v>
      </c>
      <c r="C1042" t="s">
        <v>945</v>
      </c>
      <c r="D1042" t="s">
        <v>158</v>
      </c>
      <c r="E1042" t="str">
        <f>VLOOKUP(D1042,'Tên SP'!B$2:C$1070,2,0)</f>
        <v>NƯỚC GIẶT XẢ ON1 BAMBOO CHARCOAL 3,5KG/T04 (TÚI)</v>
      </c>
      <c r="F1042" s="4">
        <v>132000</v>
      </c>
      <c r="G1042">
        <v>1</v>
      </c>
      <c r="H1042" s="4">
        <v>132000</v>
      </c>
      <c r="I1042" s="4">
        <v>-20420</v>
      </c>
      <c r="J1042" s="5">
        <f t="shared" si="16"/>
        <v>111580</v>
      </c>
    </row>
    <row r="1043" spans="1:10" x14ac:dyDescent="0.25">
      <c r="A1043" s="6">
        <v>1051</v>
      </c>
      <c r="B1043" t="s">
        <v>2206</v>
      </c>
      <c r="C1043" t="s">
        <v>945</v>
      </c>
      <c r="D1043" t="s">
        <v>158</v>
      </c>
      <c r="E1043" t="str">
        <f>VLOOKUP(D1043,'Tên SP'!B$2:C$1070,2,0)</f>
        <v>NƯỚC GIẶT XẢ ON1 BAMBOO CHARCOAL 3,5KG/T04 (TÚI)</v>
      </c>
      <c r="F1043" s="4">
        <v>132000</v>
      </c>
      <c r="G1043">
        <v>1</v>
      </c>
      <c r="H1043" s="4">
        <v>132000</v>
      </c>
      <c r="I1043" s="4">
        <v>-20420</v>
      </c>
      <c r="J1043" s="5">
        <f t="shared" si="16"/>
        <v>111580</v>
      </c>
    </row>
    <row r="1044" spans="1:10" x14ac:dyDescent="0.25">
      <c r="A1044" s="6">
        <v>1052</v>
      </c>
      <c r="B1044" t="s">
        <v>2207</v>
      </c>
      <c r="C1044" t="s">
        <v>946</v>
      </c>
      <c r="D1044" t="s">
        <v>97</v>
      </c>
      <c r="E1044" t="str">
        <f>VLOOKUP(D1044,'Tên SP'!B$2:C$1070,2,0)</f>
        <v>NƯỚC GIẶT LIX ĐẬM ĐẶC 3,6KG/C04</v>
      </c>
      <c r="F1044" s="4">
        <v>105600</v>
      </c>
      <c r="G1044">
        <v>1</v>
      </c>
      <c r="H1044" s="4">
        <v>105600</v>
      </c>
      <c r="I1044" s="4">
        <v>0</v>
      </c>
      <c r="J1044" s="5">
        <f t="shared" si="16"/>
        <v>105600</v>
      </c>
    </row>
    <row r="1045" spans="1:10" x14ac:dyDescent="0.25">
      <c r="A1045" s="6">
        <v>1053</v>
      </c>
      <c r="B1045" t="s">
        <v>2208</v>
      </c>
      <c r="C1045" t="s">
        <v>947</v>
      </c>
      <c r="D1045" t="s">
        <v>28</v>
      </c>
      <c r="E1045" t="str">
        <f>VLOOKUP(D1045,'Tên SP'!B$2:C$1070,2,0)</f>
        <v>NƯỚC XẢ VẢI LIXSOFT HƯƠNG HOA HỒNG 3,6L/C04</v>
      </c>
      <c r="F1045" s="4">
        <v>80224</v>
      </c>
      <c r="G1045">
        <v>1</v>
      </c>
      <c r="H1045" s="4">
        <v>80224</v>
      </c>
      <c r="I1045" s="4">
        <v>0</v>
      </c>
      <c r="J1045" s="5">
        <f t="shared" si="16"/>
        <v>80224</v>
      </c>
    </row>
    <row r="1046" spans="1:10" x14ac:dyDescent="0.25">
      <c r="A1046" s="6">
        <v>1054</v>
      </c>
      <c r="B1046" t="s">
        <v>2209</v>
      </c>
      <c r="C1046" t="s">
        <v>948</v>
      </c>
      <c r="D1046" t="s">
        <v>23</v>
      </c>
      <c r="E1046" t="str">
        <f>VLOOKUP(D1046,'Tên SP'!B$2:C$1070,2,0)</f>
        <v>NƯỚC XẢ VẢI LIXSOFT 3,6L/C04</v>
      </c>
      <c r="F1046" s="4">
        <v>80224</v>
      </c>
      <c r="G1046">
        <v>1</v>
      </c>
      <c r="H1046" s="4">
        <v>80224</v>
      </c>
      <c r="I1046" s="4">
        <v>-7005</v>
      </c>
      <c r="J1046" s="5">
        <f t="shared" si="16"/>
        <v>73219</v>
      </c>
    </row>
    <row r="1047" spans="1:10" x14ac:dyDescent="0.25">
      <c r="A1047" s="6">
        <v>1055</v>
      </c>
      <c r="B1047" t="s">
        <v>2209</v>
      </c>
      <c r="C1047" t="s">
        <v>948</v>
      </c>
      <c r="D1047" t="s">
        <v>9</v>
      </c>
      <c r="E1047" t="str">
        <f>VLOOKUP(D1047,'Tên SP'!B$2:C$1070,2,0)</f>
        <v>NƯỚC GIẶT LIX ĐẬM ĐẶC 3,5KG/T04 TÚI</v>
      </c>
      <c r="F1047" s="4">
        <v>91560</v>
      </c>
      <c r="G1047">
        <v>1</v>
      </c>
      <c r="H1047" s="4">
        <v>91560</v>
      </c>
      <c r="I1047" s="4">
        <v>-7995</v>
      </c>
      <c r="J1047" s="5">
        <f t="shared" si="16"/>
        <v>83565</v>
      </c>
    </row>
    <row r="1048" spans="1:10" x14ac:dyDescent="0.25">
      <c r="A1048" s="6">
        <v>1056</v>
      </c>
      <c r="B1048" t="s">
        <v>2210</v>
      </c>
      <c r="C1048" t="s">
        <v>949</v>
      </c>
      <c r="D1048" t="s">
        <v>44</v>
      </c>
      <c r="E1048" t="str">
        <f>VLOOKUP(D1048,'Tên SP'!B$2:C$1070,2,0)</f>
        <v>BỘT GIẶT LIXE CHANH 5,5KG/03</v>
      </c>
      <c r="F1048" s="4">
        <v>129000</v>
      </c>
      <c r="G1048">
        <v>1</v>
      </c>
      <c r="H1048" s="4">
        <v>129000</v>
      </c>
      <c r="I1048" s="4">
        <v>0</v>
      </c>
      <c r="J1048" s="5">
        <f t="shared" si="16"/>
        <v>129000</v>
      </c>
    </row>
    <row r="1049" spans="1:10" x14ac:dyDescent="0.25">
      <c r="A1049" s="6">
        <v>1057</v>
      </c>
      <c r="B1049" t="s">
        <v>2211</v>
      </c>
      <c r="C1049" t="s">
        <v>950</v>
      </c>
      <c r="D1049" t="s">
        <v>102</v>
      </c>
      <c r="E1049" t="str">
        <f>VLOOKUP(D1049,'Tên SP'!B$2:C$1070,2,0)</f>
        <v>NƯỚC GIẶT LIX HƯƠNG NƯỚC HOA 3,5KG/T04 TÚI</v>
      </c>
      <c r="F1049" s="4">
        <v>88000</v>
      </c>
      <c r="G1049">
        <v>1</v>
      </c>
      <c r="H1049" s="4">
        <v>88000</v>
      </c>
      <c r="I1049" s="4">
        <v>0</v>
      </c>
      <c r="J1049" s="5">
        <f t="shared" si="16"/>
        <v>88000</v>
      </c>
    </row>
    <row r="1050" spans="1:10" x14ac:dyDescent="0.25">
      <c r="A1050" s="6">
        <v>1058</v>
      </c>
      <c r="B1050" t="s">
        <v>2212</v>
      </c>
      <c r="C1050" t="s">
        <v>951</v>
      </c>
      <c r="D1050" t="s">
        <v>102</v>
      </c>
      <c r="E1050" t="str">
        <f>VLOOKUP(D1050,'Tên SP'!B$2:C$1070,2,0)</f>
        <v>NƯỚC GIẶT LIX HƯƠNG NƯỚC HOA 3,5KG/T04 TÚI</v>
      </c>
      <c r="F1050" s="4">
        <v>88000</v>
      </c>
      <c r="G1050">
        <v>1</v>
      </c>
      <c r="H1050" s="4">
        <v>88000</v>
      </c>
      <c r="I1050" s="4">
        <v>0</v>
      </c>
      <c r="J1050" s="5">
        <f t="shared" si="16"/>
        <v>88000</v>
      </c>
    </row>
    <row r="1051" spans="1:10" x14ac:dyDescent="0.25">
      <c r="A1051" s="6">
        <v>1059</v>
      </c>
      <c r="B1051" t="s">
        <v>2213</v>
      </c>
      <c r="C1051" t="s">
        <v>952</v>
      </c>
      <c r="D1051" t="s">
        <v>106</v>
      </c>
      <c r="E1051" t="str">
        <f>VLOOKUP(D1051,'Tên SP'!B$2:C$1070,2,0)</f>
        <v>NƯỚC GIẶT LIX SIÊU SẠCH HOA ANH ĐÀO 2.4KG/T06</v>
      </c>
      <c r="F1051" s="4">
        <v>60800</v>
      </c>
      <c r="G1051">
        <v>1</v>
      </c>
      <c r="H1051" s="4">
        <v>60800</v>
      </c>
      <c r="I1051" s="4">
        <v>-6515</v>
      </c>
      <c r="J1051" s="5">
        <f t="shared" si="16"/>
        <v>54285</v>
      </c>
    </row>
    <row r="1052" spans="1:10" x14ac:dyDescent="0.25">
      <c r="A1052" s="6">
        <v>1060</v>
      </c>
      <c r="B1052" t="s">
        <v>2213</v>
      </c>
      <c r="C1052" t="s">
        <v>952</v>
      </c>
      <c r="D1052" t="s">
        <v>106</v>
      </c>
      <c r="E1052" t="str">
        <f>VLOOKUP(D1052,'Tên SP'!B$2:C$1070,2,0)</f>
        <v>NƯỚC GIẶT LIX SIÊU SẠCH HOA ANH ĐÀO 2.4KG/T06</v>
      </c>
      <c r="F1052" s="4">
        <v>60800</v>
      </c>
      <c r="G1052">
        <v>1</v>
      </c>
      <c r="H1052" s="4">
        <v>60800</v>
      </c>
      <c r="I1052" s="4">
        <v>-6515</v>
      </c>
      <c r="J1052" s="5">
        <f t="shared" si="16"/>
        <v>54285</v>
      </c>
    </row>
    <row r="1053" spans="1:10" x14ac:dyDescent="0.25">
      <c r="A1053" s="6">
        <v>1061</v>
      </c>
      <c r="B1053" t="s">
        <v>2213</v>
      </c>
      <c r="C1053" t="s">
        <v>952</v>
      </c>
      <c r="D1053" t="s">
        <v>23</v>
      </c>
      <c r="E1053" t="str">
        <f>VLOOKUP(D1053,'Tên SP'!B$2:C$1070,2,0)</f>
        <v>NƯỚC XẢ VẢI LIXSOFT 3,6L/C04</v>
      </c>
      <c r="F1053" s="4">
        <v>81000</v>
      </c>
      <c r="G1053">
        <v>1</v>
      </c>
      <c r="H1053" s="4">
        <v>81000</v>
      </c>
      <c r="I1053" s="4">
        <v>-8680</v>
      </c>
      <c r="J1053" s="5">
        <f t="shared" si="16"/>
        <v>72320</v>
      </c>
    </row>
    <row r="1054" spans="1:10" x14ac:dyDescent="0.25">
      <c r="A1054" s="6">
        <v>1062</v>
      </c>
      <c r="B1054" t="s">
        <v>2213</v>
      </c>
      <c r="C1054" t="s">
        <v>952</v>
      </c>
      <c r="D1054" t="s">
        <v>102</v>
      </c>
      <c r="E1054" t="str">
        <f>VLOOKUP(D1054,'Tên SP'!B$2:C$1070,2,0)</f>
        <v>NƯỚC GIẶT LIX HƯƠNG NƯỚC HOA 3,5KG/T04 TÚI</v>
      </c>
      <c r="F1054" s="4">
        <v>88000</v>
      </c>
      <c r="G1054">
        <v>1</v>
      </c>
      <c r="H1054" s="4">
        <v>88000</v>
      </c>
      <c r="I1054" s="4">
        <v>-9430</v>
      </c>
      <c r="J1054" s="5">
        <f t="shared" si="16"/>
        <v>78570</v>
      </c>
    </row>
    <row r="1055" spans="1:10" x14ac:dyDescent="0.25">
      <c r="A1055" s="6">
        <v>1063</v>
      </c>
      <c r="B1055" t="s">
        <v>2213</v>
      </c>
      <c r="C1055" t="s">
        <v>952</v>
      </c>
      <c r="D1055" t="s">
        <v>102</v>
      </c>
      <c r="E1055" t="str">
        <f>VLOOKUP(D1055,'Tên SP'!B$2:C$1070,2,0)</f>
        <v>NƯỚC GIẶT LIX HƯƠNG NƯỚC HOA 3,5KG/T04 TÚI</v>
      </c>
      <c r="F1055" s="4">
        <v>88000</v>
      </c>
      <c r="G1055">
        <v>1</v>
      </c>
      <c r="H1055" s="4">
        <v>88000</v>
      </c>
      <c r="I1055" s="4">
        <v>-9430</v>
      </c>
      <c r="J1055" s="5">
        <f t="shared" si="16"/>
        <v>78570</v>
      </c>
    </row>
    <row r="1056" spans="1:10" x14ac:dyDescent="0.25">
      <c r="A1056" s="6">
        <v>1064</v>
      </c>
      <c r="B1056" t="s">
        <v>2213</v>
      </c>
      <c r="C1056" t="s">
        <v>952</v>
      </c>
      <c r="D1056" t="s">
        <v>102</v>
      </c>
      <c r="E1056" t="str">
        <f>VLOOKUP(D1056,'Tên SP'!B$2:C$1070,2,0)</f>
        <v>NƯỚC GIẶT LIX HƯƠNG NƯỚC HOA 3,5KG/T04 TÚI</v>
      </c>
      <c r="F1056" s="4">
        <v>88000</v>
      </c>
      <c r="G1056">
        <v>1</v>
      </c>
      <c r="H1056" s="4">
        <v>88000</v>
      </c>
      <c r="I1056" s="4">
        <v>-9430</v>
      </c>
      <c r="J1056" s="5">
        <f t="shared" si="16"/>
        <v>78570</v>
      </c>
    </row>
    <row r="1057" spans="1:10" x14ac:dyDescent="0.25">
      <c r="A1057" s="6">
        <v>1065</v>
      </c>
      <c r="B1057" t="s">
        <v>2214</v>
      </c>
      <c r="C1057" t="s">
        <v>953</v>
      </c>
      <c r="D1057" t="s">
        <v>102</v>
      </c>
      <c r="E1057" t="str">
        <f>VLOOKUP(D1057,'Tên SP'!B$2:C$1070,2,0)</f>
        <v>NƯỚC GIẶT LIX HƯƠNG NƯỚC HOA 3,5KG/T04 TÚI</v>
      </c>
      <c r="F1057" s="4">
        <v>88000</v>
      </c>
      <c r="G1057">
        <v>1</v>
      </c>
      <c r="H1057" s="4">
        <v>88000</v>
      </c>
      <c r="I1057" s="4">
        <v>-7500</v>
      </c>
      <c r="J1057" s="5">
        <f t="shared" si="16"/>
        <v>80500</v>
      </c>
    </row>
    <row r="1058" spans="1:10" x14ac:dyDescent="0.25">
      <c r="A1058" s="6">
        <v>1066</v>
      </c>
      <c r="B1058" t="s">
        <v>2214</v>
      </c>
      <c r="C1058" t="s">
        <v>953</v>
      </c>
      <c r="D1058" t="s">
        <v>102</v>
      </c>
      <c r="E1058" t="str">
        <f>VLOOKUP(D1058,'Tên SP'!B$2:C$1070,2,0)</f>
        <v>NƯỚC GIẶT LIX HƯƠNG NƯỚC HOA 3,5KG/T04 TÚI</v>
      </c>
      <c r="F1058" s="4">
        <v>88000</v>
      </c>
      <c r="G1058">
        <v>1</v>
      </c>
      <c r="H1058" s="4">
        <v>88000</v>
      </c>
      <c r="I1058" s="4">
        <v>-7500</v>
      </c>
      <c r="J1058" s="5">
        <f t="shared" si="16"/>
        <v>80500</v>
      </c>
    </row>
    <row r="1059" spans="1:10" x14ac:dyDescent="0.25">
      <c r="A1059" s="6">
        <v>1067</v>
      </c>
      <c r="B1059" t="s">
        <v>2214</v>
      </c>
      <c r="C1059" t="s">
        <v>953</v>
      </c>
      <c r="D1059" t="s">
        <v>102</v>
      </c>
      <c r="E1059" t="str">
        <f>VLOOKUP(D1059,'Tên SP'!B$2:C$1070,2,0)</f>
        <v>NƯỚC GIẶT LIX HƯƠNG NƯỚC HOA 3,5KG/T04 TÚI</v>
      </c>
      <c r="F1059" s="4">
        <v>88000</v>
      </c>
      <c r="G1059">
        <v>1</v>
      </c>
      <c r="H1059" s="4">
        <v>88000</v>
      </c>
      <c r="I1059" s="4">
        <v>-7500</v>
      </c>
      <c r="J1059" s="5">
        <f t="shared" si="16"/>
        <v>80500</v>
      </c>
    </row>
    <row r="1060" spans="1:10" x14ac:dyDescent="0.25">
      <c r="A1060" s="6">
        <v>1068</v>
      </c>
      <c r="B1060" t="s">
        <v>2214</v>
      </c>
      <c r="C1060" t="s">
        <v>953</v>
      </c>
      <c r="D1060" t="s">
        <v>102</v>
      </c>
      <c r="E1060" t="str">
        <f>VLOOKUP(D1060,'Tên SP'!B$2:C$1070,2,0)</f>
        <v>NƯỚC GIẶT LIX HƯƠNG NƯỚC HOA 3,5KG/T04 TÚI</v>
      </c>
      <c r="F1060" s="4">
        <v>88000</v>
      </c>
      <c r="G1060">
        <v>1</v>
      </c>
      <c r="H1060" s="4">
        <v>88000</v>
      </c>
      <c r="I1060" s="4">
        <v>-7500</v>
      </c>
      <c r="J1060" s="5">
        <f t="shared" si="16"/>
        <v>80500</v>
      </c>
    </row>
    <row r="1061" spans="1:10" x14ac:dyDescent="0.25">
      <c r="A1061" s="6">
        <v>1069</v>
      </c>
      <c r="B1061" t="s">
        <v>2215</v>
      </c>
      <c r="C1061" t="s">
        <v>954</v>
      </c>
      <c r="D1061" t="s">
        <v>9</v>
      </c>
      <c r="E1061" t="str">
        <f>VLOOKUP(D1061,'Tên SP'!B$2:C$1070,2,0)</f>
        <v>NƯỚC GIẶT LIX ĐẬM ĐẶC 3,5KG/T04 TÚI</v>
      </c>
      <c r="F1061" s="4">
        <v>92400</v>
      </c>
      <c r="G1061">
        <v>1</v>
      </c>
      <c r="H1061" s="4">
        <v>92400</v>
      </c>
      <c r="I1061" s="4">
        <v>0</v>
      </c>
      <c r="J1061" s="5">
        <f t="shared" si="16"/>
        <v>92400</v>
      </c>
    </row>
    <row r="1062" spans="1:10" x14ac:dyDescent="0.25">
      <c r="A1062" s="6">
        <v>1070</v>
      </c>
      <c r="B1062" t="s">
        <v>2216</v>
      </c>
      <c r="C1062" t="s">
        <v>955</v>
      </c>
      <c r="D1062" t="s">
        <v>102</v>
      </c>
      <c r="E1062" t="str">
        <f>VLOOKUP(D1062,'Tên SP'!B$2:C$1070,2,0)</f>
        <v>NƯỚC GIẶT LIX HƯƠNG NƯỚC HOA 3,5KG/T04 TÚI</v>
      </c>
      <c r="F1062" s="4">
        <v>88000</v>
      </c>
      <c r="G1062">
        <v>1</v>
      </c>
      <c r="H1062" s="4">
        <v>88000</v>
      </c>
      <c r="I1062" s="4">
        <v>-10000</v>
      </c>
      <c r="J1062" s="5">
        <f t="shared" si="16"/>
        <v>78000</v>
      </c>
    </row>
    <row r="1063" spans="1:10" x14ac:dyDescent="0.25">
      <c r="A1063" s="6">
        <v>1071</v>
      </c>
      <c r="B1063" t="s">
        <v>2217</v>
      </c>
      <c r="C1063" t="s">
        <v>956</v>
      </c>
      <c r="D1063" t="s">
        <v>79</v>
      </c>
      <c r="E1063" t="str">
        <f>VLOOKUP(D1063,'Tên SP'!B$2:C$1070,2,0)</f>
        <v>NƯỚC RỬA CHÉN SIÊU SẠCH CHANH 750G/CH12</v>
      </c>
      <c r="F1063" s="4">
        <v>16800</v>
      </c>
      <c r="G1063">
        <v>1</v>
      </c>
      <c r="H1063" s="4">
        <v>16800</v>
      </c>
      <c r="I1063" s="4">
        <v>-8000</v>
      </c>
      <c r="J1063" s="5">
        <f t="shared" si="16"/>
        <v>8800</v>
      </c>
    </row>
    <row r="1064" spans="1:10" x14ac:dyDescent="0.25">
      <c r="A1064" s="6">
        <v>1072</v>
      </c>
      <c r="B1064" t="s">
        <v>2218</v>
      </c>
      <c r="C1064" t="s">
        <v>957</v>
      </c>
      <c r="D1064" t="s">
        <v>79</v>
      </c>
      <c r="E1064" t="str">
        <f>VLOOKUP(D1064,'Tên SP'!B$2:C$1070,2,0)</f>
        <v>NƯỚC RỬA CHÉN SIÊU SẠCH CHANH 750G/CH12</v>
      </c>
      <c r="F1064" s="4">
        <v>16800</v>
      </c>
      <c r="G1064">
        <v>1</v>
      </c>
      <c r="H1064" s="4">
        <v>16800</v>
      </c>
      <c r="I1064" s="4">
        <v>-8000</v>
      </c>
      <c r="J1064" s="5">
        <f t="shared" si="16"/>
        <v>8800</v>
      </c>
    </row>
    <row r="1065" spans="1:10" x14ac:dyDescent="0.25">
      <c r="A1065" s="6">
        <v>1073</v>
      </c>
      <c r="B1065" t="s">
        <v>2219</v>
      </c>
      <c r="C1065" t="s">
        <v>958</v>
      </c>
      <c r="D1065" t="s">
        <v>38</v>
      </c>
      <c r="E1065" t="str">
        <f>VLOOKUP(D1065,'Tên SP'!B$2:C$1070,2,0)</f>
        <v>BỘT GIẶT LIXE HƯƠNG NƯỚC HOA 5,5KG/03</v>
      </c>
      <c r="F1065" s="4">
        <v>127600</v>
      </c>
      <c r="G1065">
        <v>1</v>
      </c>
      <c r="H1065" s="4">
        <v>127600</v>
      </c>
      <c r="I1065" s="4">
        <v>-15000</v>
      </c>
      <c r="J1065" s="5">
        <f t="shared" si="16"/>
        <v>112600</v>
      </c>
    </row>
    <row r="1066" spans="1:10" x14ac:dyDescent="0.25">
      <c r="A1066" s="6">
        <v>1074</v>
      </c>
      <c r="B1066" t="s">
        <v>2220</v>
      </c>
      <c r="C1066" t="s">
        <v>959</v>
      </c>
      <c r="D1066" t="s">
        <v>102</v>
      </c>
      <c r="E1066" t="str">
        <f>VLOOKUP(D1066,'Tên SP'!B$2:C$1070,2,0)</f>
        <v>NƯỚC GIẶT LIX HƯƠNG NƯỚC HOA 3,5KG/T04 TÚI</v>
      </c>
      <c r="F1066" s="4">
        <v>88000</v>
      </c>
      <c r="G1066">
        <v>1</v>
      </c>
      <c r="H1066" s="4">
        <v>88000</v>
      </c>
      <c r="I1066" s="4">
        <v>-10000</v>
      </c>
      <c r="J1066" s="5">
        <f t="shared" si="16"/>
        <v>78000</v>
      </c>
    </row>
    <row r="1067" spans="1:10" x14ac:dyDescent="0.25">
      <c r="A1067" s="6">
        <v>1075</v>
      </c>
      <c r="B1067" t="s">
        <v>2221</v>
      </c>
      <c r="C1067" t="s">
        <v>960</v>
      </c>
      <c r="D1067" t="s">
        <v>79</v>
      </c>
      <c r="E1067" t="str">
        <f>VLOOKUP(D1067,'Tên SP'!B$2:C$1070,2,0)</f>
        <v>NƯỚC RỬA CHÉN SIÊU SẠCH CHANH 750G/CH12</v>
      </c>
      <c r="F1067" s="4">
        <v>16800</v>
      </c>
      <c r="G1067">
        <v>1</v>
      </c>
      <c r="H1067" s="4">
        <v>16800</v>
      </c>
      <c r="I1067" s="4">
        <v>-8000</v>
      </c>
      <c r="J1067" s="5">
        <f t="shared" si="16"/>
        <v>8800</v>
      </c>
    </row>
    <row r="1068" spans="1:10" x14ac:dyDescent="0.25">
      <c r="A1068" s="6">
        <v>1076</v>
      </c>
      <c r="B1068" t="s">
        <v>2222</v>
      </c>
      <c r="C1068" t="s">
        <v>961</v>
      </c>
      <c r="D1068" t="s">
        <v>89</v>
      </c>
      <c r="E1068" t="str">
        <f>VLOOKUP(D1068,'Tên SP'!B$2:C$1070,2,0)</f>
        <v>NƯỚC RỬA CHÉN SIÊU SẠCH TRÀ 750G/CH12</v>
      </c>
      <c r="F1068" s="4">
        <v>19000</v>
      </c>
      <c r="G1068">
        <v>1</v>
      </c>
      <c r="H1068" s="4">
        <v>19000</v>
      </c>
      <c r="I1068" s="4">
        <v>-8000</v>
      </c>
      <c r="J1068" s="5">
        <f t="shared" si="16"/>
        <v>11000</v>
      </c>
    </row>
    <row r="1069" spans="1:10" x14ac:dyDescent="0.25">
      <c r="A1069" s="6">
        <v>1077</v>
      </c>
      <c r="B1069" t="s">
        <v>2223</v>
      </c>
      <c r="C1069" t="s">
        <v>962</v>
      </c>
      <c r="D1069" t="s">
        <v>102</v>
      </c>
      <c r="E1069" t="str">
        <f>VLOOKUP(D1069,'Tên SP'!B$2:C$1070,2,0)</f>
        <v>NƯỚC GIẶT LIX HƯƠNG NƯỚC HOA 3,5KG/T04 TÚI</v>
      </c>
      <c r="F1069" s="4">
        <v>88000</v>
      </c>
      <c r="G1069">
        <v>1</v>
      </c>
      <c r="H1069" s="4">
        <v>88000</v>
      </c>
      <c r="I1069" s="4">
        <v>0</v>
      </c>
      <c r="J1069" s="5">
        <f t="shared" si="16"/>
        <v>88000</v>
      </c>
    </row>
    <row r="1070" spans="1:10" x14ac:dyDescent="0.25">
      <c r="A1070" s="6">
        <v>1078</v>
      </c>
      <c r="B1070" t="s">
        <v>2224</v>
      </c>
      <c r="C1070" t="s">
        <v>963</v>
      </c>
      <c r="D1070" t="s">
        <v>28</v>
      </c>
      <c r="E1070" t="str">
        <f>VLOOKUP(D1070,'Tên SP'!B$2:C$1070,2,0)</f>
        <v>NƯỚC XẢ VẢI LIXSOFT HƯƠNG HOA HỒNG 3,6L/C04</v>
      </c>
      <c r="F1070" s="4">
        <v>81000</v>
      </c>
      <c r="G1070">
        <v>1</v>
      </c>
      <c r="H1070" s="4">
        <v>81000</v>
      </c>
      <c r="I1070" s="4">
        <v>-4050</v>
      </c>
      <c r="J1070" s="5">
        <f t="shared" si="16"/>
        <v>76950</v>
      </c>
    </row>
    <row r="1071" spans="1:10" x14ac:dyDescent="0.25">
      <c r="A1071" s="6">
        <v>1079</v>
      </c>
      <c r="B1071" t="s">
        <v>2224</v>
      </c>
      <c r="C1071" t="s">
        <v>963</v>
      </c>
      <c r="D1071" t="s">
        <v>23</v>
      </c>
      <c r="E1071" t="str">
        <f>VLOOKUP(D1071,'Tên SP'!B$2:C$1070,2,0)</f>
        <v>NƯỚC XẢ VẢI LIXSOFT 3,6L/C04</v>
      </c>
      <c r="F1071" s="4">
        <v>81000</v>
      </c>
      <c r="G1071">
        <v>1</v>
      </c>
      <c r="H1071" s="4">
        <v>81000</v>
      </c>
      <c r="I1071" s="4">
        <v>-4050</v>
      </c>
      <c r="J1071" s="5">
        <f t="shared" si="16"/>
        <v>76950</v>
      </c>
    </row>
    <row r="1072" spans="1:10" x14ac:dyDescent="0.25">
      <c r="A1072" s="6">
        <v>1080</v>
      </c>
      <c r="B1072" t="s">
        <v>2225</v>
      </c>
      <c r="C1072" t="s">
        <v>964</v>
      </c>
      <c r="D1072" t="s">
        <v>38</v>
      </c>
      <c r="E1072" t="str">
        <f>VLOOKUP(D1072,'Tên SP'!B$2:C$1070,2,0)</f>
        <v>BỘT GIẶT LIXE HƯƠNG NƯỚC HOA 5,5KG/03</v>
      </c>
      <c r="F1072" s="4">
        <v>127600</v>
      </c>
      <c r="G1072">
        <v>1</v>
      </c>
      <c r="H1072" s="4">
        <v>127600</v>
      </c>
      <c r="I1072" s="4">
        <v>0</v>
      </c>
      <c r="J1072" s="5">
        <f t="shared" si="16"/>
        <v>127600</v>
      </c>
    </row>
    <row r="1073" spans="1:10" x14ac:dyDescent="0.25">
      <c r="A1073" s="6">
        <v>1081</v>
      </c>
      <c r="B1073" t="s">
        <v>2226</v>
      </c>
      <c r="C1073" t="s">
        <v>965</v>
      </c>
      <c r="D1073" t="s">
        <v>89</v>
      </c>
      <c r="E1073" t="str">
        <f>VLOOKUP(D1073,'Tên SP'!B$2:C$1070,2,0)</f>
        <v>NƯỚC RỬA CHÉN SIÊU SẠCH TRÀ 750G/CH12</v>
      </c>
      <c r="F1073" s="4">
        <v>19000</v>
      </c>
      <c r="G1073">
        <v>1</v>
      </c>
      <c r="H1073" s="4">
        <v>19000</v>
      </c>
      <c r="I1073" s="4">
        <v>-8000</v>
      </c>
      <c r="J1073" s="5">
        <f t="shared" si="16"/>
        <v>11000</v>
      </c>
    </row>
    <row r="1074" spans="1:10" x14ac:dyDescent="0.25">
      <c r="A1074" s="6">
        <v>1082</v>
      </c>
      <c r="B1074" t="s">
        <v>2227</v>
      </c>
      <c r="C1074" t="s">
        <v>966</v>
      </c>
      <c r="D1074" t="s">
        <v>89</v>
      </c>
      <c r="E1074" t="str">
        <f>VLOOKUP(D1074,'Tên SP'!B$2:C$1070,2,0)</f>
        <v>NƯỚC RỬA CHÉN SIÊU SẠCH TRÀ 750G/CH12</v>
      </c>
      <c r="F1074" s="4">
        <v>19000</v>
      </c>
      <c r="G1074">
        <v>1</v>
      </c>
      <c r="H1074" s="4">
        <v>19000</v>
      </c>
      <c r="I1074" s="4">
        <v>-8000</v>
      </c>
      <c r="J1074" s="5">
        <f t="shared" si="16"/>
        <v>11000</v>
      </c>
    </row>
    <row r="1075" spans="1:10" x14ac:dyDescent="0.25">
      <c r="A1075" s="6">
        <v>1083</v>
      </c>
      <c r="B1075" t="s">
        <v>2228</v>
      </c>
      <c r="C1075" t="s">
        <v>967</v>
      </c>
      <c r="D1075" t="s">
        <v>22</v>
      </c>
      <c r="E1075" t="str">
        <f>VLOOKUP(D1075,'Tên SP'!B$2:C$1070,2,0)</f>
        <v>NƯỚC TẨY JAVEL LIX 1KG/CH12</v>
      </c>
      <c r="F1075" s="4">
        <v>30200</v>
      </c>
      <c r="G1075">
        <v>1</v>
      </c>
      <c r="H1075" s="4">
        <v>30200</v>
      </c>
      <c r="I1075" s="4">
        <v>-1510</v>
      </c>
      <c r="J1075" s="5">
        <f t="shared" si="16"/>
        <v>28690</v>
      </c>
    </row>
    <row r="1076" spans="1:10" x14ac:dyDescent="0.25">
      <c r="A1076" s="6">
        <v>1084</v>
      </c>
      <c r="B1076" t="s">
        <v>2228</v>
      </c>
      <c r="C1076" t="s">
        <v>967</v>
      </c>
      <c r="D1076" t="s">
        <v>22</v>
      </c>
      <c r="E1076" t="str">
        <f>VLOOKUP(D1076,'Tên SP'!B$2:C$1070,2,0)</f>
        <v>NƯỚC TẨY JAVEL LIX 1KG/CH12</v>
      </c>
      <c r="F1076" s="4">
        <v>30200</v>
      </c>
      <c r="G1076">
        <v>1</v>
      </c>
      <c r="H1076" s="4">
        <v>30200</v>
      </c>
      <c r="I1076" s="4">
        <v>-1510</v>
      </c>
      <c r="J1076" s="5">
        <f t="shared" si="16"/>
        <v>28690</v>
      </c>
    </row>
    <row r="1077" spans="1:10" x14ac:dyDescent="0.25">
      <c r="A1077" s="6">
        <v>1085</v>
      </c>
      <c r="B1077" t="s">
        <v>2228</v>
      </c>
      <c r="C1077" t="s">
        <v>967</v>
      </c>
      <c r="D1077" t="s">
        <v>94</v>
      </c>
      <c r="E1077" t="str">
        <f>VLOOKUP(D1077,'Tên SP'!B$2:C$1070,2,0)</f>
        <v>NƯỚC LAU SÀN ĐUỔI CÔN TRÙNG LIX 2L/C08</v>
      </c>
      <c r="F1077" s="4">
        <v>48900</v>
      </c>
      <c r="G1077">
        <v>1</v>
      </c>
      <c r="H1077" s="4">
        <v>48900</v>
      </c>
      <c r="I1077" s="4">
        <v>-2445</v>
      </c>
      <c r="J1077" s="5">
        <f t="shared" si="16"/>
        <v>46455</v>
      </c>
    </row>
    <row r="1078" spans="1:10" x14ac:dyDescent="0.25">
      <c r="A1078" s="6">
        <v>1086</v>
      </c>
      <c r="B1078" t="s">
        <v>2228</v>
      </c>
      <c r="C1078" t="s">
        <v>967</v>
      </c>
      <c r="D1078" t="s">
        <v>23</v>
      </c>
      <c r="E1078" t="str">
        <f>VLOOKUP(D1078,'Tên SP'!B$2:C$1070,2,0)</f>
        <v>NƯỚC XẢ VẢI LIXSOFT 3,6L/C04</v>
      </c>
      <c r="F1078" s="4">
        <v>81000</v>
      </c>
      <c r="G1078">
        <v>1</v>
      </c>
      <c r="H1078" s="4">
        <v>81000</v>
      </c>
      <c r="I1078" s="4">
        <v>-4050</v>
      </c>
      <c r="J1078" s="5">
        <f t="shared" si="16"/>
        <v>76950</v>
      </c>
    </row>
    <row r="1079" spans="1:10" x14ac:dyDescent="0.25">
      <c r="A1079" s="6">
        <v>1087</v>
      </c>
      <c r="B1079" t="s">
        <v>2228</v>
      </c>
      <c r="C1079" t="s">
        <v>967</v>
      </c>
      <c r="D1079" t="s">
        <v>38</v>
      </c>
      <c r="E1079" t="str">
        <f>VLOOKUP(D1079,'Tên SP'!B$2:C$1070,2,0)</f>
        <v>BỘT GIẶT LIXE HƯƠNG NƯỚC HOA 5,5KG/03</v>
      </c>
      <c r="F1079" s="4">
        <v>127600</v>
      </c>
      <c r="G1079">
        <v>1</v>
      </c>
      <c r="H1079" s="4">
        <v>127600</v>
      </c>
      <c r="I1079" s="4">
        <v>-6380</v>
      </c>
      <c r="J1079" s="5">
        <f t="shared" si="16"/>
        <v>121220</v>
      </c>
    </row>
    <row r="1080" spans="1:10" x14ac:dyDescent="0.25">
      <c r="A1080" s="6">
        <v>1088</v>
      </c>
      <c r="B1080" t="s">
        <v>2229</v>
      </c>
      <c r="C1080" t="s">
        <v>968</v>
      </c>
      <c r="D1080" t="s">
        <v>23</v>
      </c>
      <c r="E1080" t="str">
        <f>VLOOKUP(D1080,'Tên SP'!B$2:C$1070,2,0)</f>
        <v>NƯỚC XẢ VẢI LIXSOFT 3,6L/C04</v>
      </c>
      <c r="F1080" s="4">
        <v>81000</v>
      </c>
      <c r="G1080">
        <v>1</v>
      </c>
      <c r="H1080" s="4">
        <v>81000</v>
      </c>
      <c r="I1080" s="4">
        <v>-4050</v>
      </c>
      <c r="J1080" s="5">
        <f t="shared" si="16"/>
        <v>76950</v>
      </c>
    </row>
    <row r="1081" spans="1:10" x14ac:dyDescent="0.25">
      <c r="A1081" s="6">
        <v>1089</v>
      </c>
      <c r="B1081" t="s">
        <v>2229</v>
      </c>
      <c r="C1081" t="s">
        <v>968</v>
      </c>
      <c r="D1081" t="s">
        <v>28</v>
      </c>
      <c r="E1081" t="str">
        <f>VLOOKUP(D1081,'Tên SP'!B$2:C$1070,2,0)</f>
        <v>NƯỚC XẢ VẢI LIXSOFT HƯƠNG HOA HỒNG 3,6L/C04</v>
      </c>
      <c r="F1081" s="4">
        <v>81000</v>
      </c>
      <c r="G1081">
        <v>1</v>
      </c>
      <c r="H1081" s="4">
        <v>81000</v>
      </c>
      <c r="I1081" s="4">
        <v>-4050</v>
      </c>
      <c r="J1081" s="5">
        <f t="shared" si="16"/>
        <v>76950</v>
      </c>
    </row>
    <row r="1082" spans="1:10" x14ac:dyDescent="0.25">
      <c r="A1082" s="6">
        <v>1090</v>
      </c>
      <c r="B1082" t="s">
        <v>2230</v>
      </c>
      <c r="C1082" t="s">
        <v>969</v>
      </c>
      <c r="D1082" t="s">
        <v>71</v>
      </c>
      <c r="E1082" t="str">
        <f>VLOOKUP(D1082,'Tên SP'!B$2:C$1070,2,0)</f>
        <v>NƯỚC RỬA CHÉN SIÊU SẠCH CHANH 3,5KG/T04- TÚI</v>
      </c>
      <c r="F1082" s="4">
        <v>73000</v>
      </c>
      <c r="G1082">
        <v>1</v>
      </c>
      <c r="H1082" s="4">
        <v>73000</v>
      </c>
      <c r="I1082" s="4">
        <v>-7088</v>
      </c>
      <c r="J1082" s="5">
        <f t="shared" ref="J1082:J1144" si="17">H1082+I1082</f>
        <v>65912</v>
      </c>
    </row>
    <row r="1083" spans="1:10" x14ac:dyDescent="0.25">
      <c r="A1083" s="6">
        <v>1091</v>
      </c>
      <c r="B1083" t="s">
        <v>2230</v>
      </c>
      <c r="C1083" t="s">
        <v>969</v>
      </c>
      <c r="D1083" t="s">
        <v>71</v>
      </c>
      <c r="E1083" t="str">
        <f>VLOOKUP(D1083,'Tên SP'!B$2:C$1070,2,0)</f>
        <v>NƯỚC RỬA CHÉN SIÊU SẠCH CHANH 3,5KG/T04- TÚI</v>
      </c>
      <c r="F1083" s="4">
        <v>73000</v>
      </c>
      <c r="G1083">
        <v>1</v>
      </c>
      <c r="H1083" s="4">
        <v>73000</v>
      </c>
      <c r="I1083" s="4">
        <v>-7087</v>
      </c>
      <c r="J1083" s="5">
        <f t="shared" si="17"/>
        <v>65913</v>
      </c>
    </row>
    <row r="1084" spans="1:10" x14ac:dyDescent="0.25">
      <c r="A1084" s="6">
        <v>1092</v>
      </c>
      <c r="B1084" t="s">
        <v>2230</v>
      </c>
      <c r="C1084" t="s">
        <v>969</v>
      </c>
      <c r="D1084" t="s">
        <v>36</v>
      </c>
      <c r="E1084" t="str">
        <f>VLOOKUP(D1084,'Tên SP'!B$2:C$1070,2,0)</f>
        <v>BỘT GIẶT LIXE HƯƠNG NƯỚC HOA 7KG/02</v>
      </c>
      <c r="F1084" s="4">
        <v>173600</v>
      </c>
      <c r="G1084">
        <v>1</v>
      </c>
      <c r="H1084" s="4">
        <v>173600</v>
      </c>
      <c r="I1084" s="4">
        <v>-16854</v>
      </c>
      <c r="J1084" s="5">
        <f t="shared" si="17"/>
        <v>156746</v>
      </c>
    </row>
    <row r="1085" spans="1:10" x14ac:dyDescent="0.25">
      <c r="A1085" s="6">
        <v>1093</v>
      </c>
      <c r="B1085" t="s">
        <v>2230</v>
      </c>
      <c r="C1085" t="s">
        <v>969</v>
      </c>
      <c r="D1085" t="s">
        <v>9</v>
      </c>
      <c r="E1085" t="str">
        <f>VLOOKUP(D1085,'Tên SP'!B$2:C$1070,2,0)</f>
        <v>NƯỚC GIẶT LIX ĐẬM ĐẶC 3,5KG/T04 TÚI</v>
      </c>
      <c r="F1085" s="4">
        <v>92400</v>
      </c>
      <c r="G1085">
        <v>1</v>
      </c>
      <c r="H1085" s="4">
        <v>92400</v>
      </c>
      <c r="I1085" s="4">
        <v>-8971</v>
      </c>
      <c r="J1085" s="5">
        <f t="shared" si="17"/>
        <v>83429</v>
      </c>
    </row>
    <row r="1086" spans="1:10" x14ac:dyDescent="0.25">
      <c r="A1086" s="6">
        <v>1094</v>
      </c>
      <c r="B1086" t="s">
        <v>2230</v>
      </c>
      <c r="C1086" t="s">
        <v>969</v>
      </c>
      <c r="D1086" t="s">
        <v>184</v>
      </c>
      <c r="E1086" t="str">
        <f>VLOOKUP(D1086,'Tên SP'!B$2:C$1070,2,0)</f>
        <v>GEL DIỆT KHUẨN TAY ON1 60ML/CH80</v>
      </c>
      <c r="F1086" s="4">
        <v>15000</v>
      </c>
      <c r="G1086">
        <v>1</v>
      </c>
      <c r="H1086" s="4">
        <v>15000</v>
      </c>
      <c r="I1086" s="4">
        <v>-15000</v>
      </c>
      <c r="J1086" s="5">
        <f t="shared" si="17"/>
        <v>0</v>
      </c>
    </row>
    <row r="1087" spans="1:10" x14ac:dyDescent="0.25">
      <c r="A1087" s="6">
        <v>1095</v>
      </c>
      <c r="B1087" t="s">
        <v>2230</v>
      </c>
      <c r="C1087" t="s">
        <v>970</v>
      </c>
      <c r="D1087" t="s">
        <v>102</v>
      </c>
      <c r="E1087" t="str">
        <f>VLOOKUP(D1087,'Tên SP'!B$2:C$1070,2,0)</f>
        <v>NƯỚC GIẶT LIX HƯƠNG NƯỚC HOA 3,5KG/T04 TÚI</v>
      </c>
      <c r="F1087" s="4">
        <v>88000</v>
      </c>
      <c r="G1087">
        <v>1</v>
      </c>
      <c r="H1087" s="4">
        <v>88000</v>
      </c>
      <c r="I1087" s="4">
        <v>0</v>
      </c>
      <c r="J1087" s="5">
        <f t="shared" si="17"/>
        <v>88000</v>
      </c>
    </row>
    <row r="1088" spans="1:10" x14ac:dyDescent="0.25">
      <c r="A1088" s="6">
        <v>1096</v>
      </c>
      <c r="B1088" t="s">
        <v>2231</v>
      </c>
      <c r="C1088" t="s">
        <v>971</v>
      </c>
      <c r="D1088" t="s">
        <v>102</v>
      </c>
      <c r="E1088" t="str">
        <f>VLOOKUP(D1088,'Tên SP'!B$2:C$1070,2,0)</f>
        <v>NƯỚC GIẶT LIX HƯƠNG NƯỚC HOA 3,5KG/T04 TÚI</v>
      </c>
      <c r="F1088" s="4">
        <v>88000</v>
      </c>
      <c r="G1088">
        <v>1</v>
      </c>
      <c r="H1088" s="4">
        <v>88000</v>
      </c>
      <c r="I1088" s="4">
        <v>-10000</v>
      </c>
      <c r="J1088" s="5">
        <f t="shared" si="17"/>
        <v>78000</v>
      </c>
    </row>
    <row r="1089" spans="1:10" x14ac:dyDescent="0.25">
      <c r="A1089" s="6">
        <v>1097</v>
      </c>
      <c r="B1089" t="s">
        <v>2232</v>
      </c>
      <c r="C1089" t="s">
        <v>972</v>
      </c>
      <c r="D1089" t="s">
        <v>102</v>
      </c>
      <c r="E1089" t="str">
        <f>VLOOKUP(D1089,'Tên SP'!B$2:C$1070,2,0)</f>
        <v>NƯỚC GIẶT LIX HƯƠNG NƯỚC HOA 3,5KG/T04 TÚI</v>
      </c>
      <c r="F1089" s="4">
        <v>88000</v>
      </c>
      <c r="G1089">
        <v>1</v>
      </c>
      <c r="H1089" s="4">
        <v>88000</v>
      </c>
      <c r="I1089" s="4">
        <v>-7733</v>
      </c>
      <c r="J1089" s="5">
        <f t="shared" si="17"/>
        <v>80267</v>
      </c>
    </row>
    <row r="1090" spans="1:10" x14ac:dyDescent="0.25">
      <c r="A1090" s="6">
        <v>1098</v>
      </c>
      <c r="B1090" t="s">
        <v>2232</v>
      </c>
      <c r="C1090" t="s">
        <v>972</v>
      </c>
      <c r="D1090" t="s">
        <v>60</v>
      </c>
      <c r="E1090" t="str">
        <f>VLOOKUP(D1090,'Tên SP'!B$2:C$1070,2,0)</f>
        <v>BỘT GIẶT LIX DD CHỐNG LEM MÀU 800G/12</v>
      </c>
      <c r="F1090" s="4">
        <v>25800</v>
      </c>
      <c r="G1090">
        <v>1</v>
      </c>
      <c r="H1090" s="4">
        <v>25800</v>
      </c>
      <c r="I1090" s="4">
        <v>-2267</v>
      </c>
      <c r="J1090" s="5">
        <f t="shared" si="17"/>
        <v>23533</v>
      </c>
    </row>
    <row r="1091" spans="1:10" x14ac:dyDescent="0.25">
      <c r="A1091" s="6">
        <v>1099</v>
      </c>
      <c r="B1091" t="s">
        <v>2233</v>
      </c>
      <c r="C1091" t="s">
        <v>973</v>
      </c>
      <c r="D1091" t="s">
        <v>102</v>
      </c>
      <c r="E1091" t="str">
        <f>VLOOKUP(D1091,'Tên SP'!B$2:C$1070,2,0)</f>
        <v>NƯỚC GIẶT LIX HƯƠNG NƯỚC HOA 3,5KG/T04 TÚI</v>
      </c>
      <c r="F1091" s="4">
        <v>88000</v>
      </c>
      <c r="G1091">
        <v>1</v>
      </c>
      <c r="H1091" s="4">
        <v>88000</v>
      </c>
      <c r="I1091" s="4">
        <v>-13200</v>
      </c>
      <c r="J1091" s="5">
        <f t="shared" si="17"/>
        <v>74800</v>
      </c>
    </row>
    <row r="1092" spans="1:10" x14ac:dyDescent="0.25">
      <c r="A1092" s="6">
        <v>1100</v>
      </c>
      <c r="B1092" t="s">
        <v>2233</v>
      </c>
      <c r="C1092" t="s">
        <v>974</v>
      </c>
      <c r="D1092" t="s">
        <v>102</v>
      </c>
      <c r="E1092" t="str">
        <f>VLOOKUP(D1092,'Tên SP'!B$2:C$1070,2,0)</f>
        <v>NƯỚC GIẶT LIX HƯƠNG NƯỚC HOA 3,5KG/T04 TÚI</v>
      </c>
      <c r="F1092" s="4">
        <v>88000</v>
      </c>
      <c r="G1092">
        <v>1</v>
      </c>
      <c r="H1092" s="4">
        <v>88000</v>
      </c>
      <c r="I1092" s="4">
        <v>0</v>
      </c>
      <c r="J1092" s="5">
        <f t="shared" si="17"/>
        <v>88000</v>
      </c>
    </row>
    <row r="1093" spans="1:10" x14ac:dyDescent="0.25">
      <c r="A1093" s="6">
        <v>1101</v>
      </c>
      <c r="B1093" t="s">
        <v>2234</v>
      </c>
      <c r="C1093" t="s">
        <v>975</v>
      </c>
      <c r="D1093" t="s">
        <v>102</v>
      </c>
      <c r="E1093" t="str">
        <f>VLOOKUP(D1093,'Tên SP'!B$2:C$1070,2,0)</f>
        <v>NƯỚC GIẶT LIX HƯƠNG NƯỚC HOA 3,5KG/T04 TÚI</v>
      </c>
      <c r="F1093" s="4">
        <v>88000</v>
      </c>
      <c r="G1093">
        <v>1</v>
      </c>
      <c r="H1093" s="4">
        <v>88000</v>
      </c>
      <c r="I1093" s="4">
        <v>0</v>
      </c>
      <c r="J1093" s="5">
        <f t="shared" si="17"/>
        <v>88000</v>
      </c>
    </row>
    <row r="1094" spans="1:10" x14ac:dyDescent="0.25">
      <c r="A1094" s="6">
        <v>1102</v>
      </c>
      <c r="B1094" t="s">
        <v>2235</v>
      </c>
      <c r="C1094" t="s">
        <v>976</v>
      </c>
      <c r="D1094" t="s">
        <v>9</v>
      </c>
      <c r="E1094" t="str">
        <f>VLOOKUP(D1094,'Tên SP'!B$2:C$1070,2,0)</f>
        <v>NƯỚC GIẶT LIX ĐẬM ĐẶC 3,5KG/T04 TÚI</v>
      </c>
      <c r="F1094" s="4">
        <v>92400</v>
      </c>
      <c r="G1094">
        <v>1</v>
      </c>
      <c r="H1094" s="4">
        <v>92400</v>
      </c>
      <c r="I1094" s="4">
        <v>-8000</v>
      </c>
      <c r="J1094" s="5">
        <f t="shared" si="17"/>
        <v>84400</v>
      </c>
    </row>
    <row r="1095" spans="1:10" x14ac:dyDescent="0.25">
      <c r="A1095" s="6">
        <v>1103</v>
      </c>
      <c r="B1095" t="s">
        <v>2236</v>
      </c>
      <c r="C1095" t="s">
        <v>977</v>
      </c>
      <c r="D1095" t="s">
        <v>102</v>
      </c>
      <c r="E1095" t="str">
        <f>VLOOKUP(D1095,'Tên SP'!B$2:C$1070,2,0)</f>
        <v>NƯỚC GIẶT LIX HƯƠNG NƯỚC HOA 3,5KG/T04 TÚI</v>
      </c>
      <c r="F1095" s="4">
        <v>88000</v>
      </c>
      <c r="G1095">
        <v>1</v>
      </c>
      <c r="H1095" s="4">
        <v>88000</v>
      </c>
      <c r="I1095" s="4">
        <v>-4400</v>
      </c>
      <c r="J1095" s="5">
        <f t="shared" si="17"/>
        <v>83600</v>
      </c>
    </row>
    <row r="1096" spans="1:10" x14ac:dyDescent="0.25">
      <c r="A1096" s="6">
        <v>1104</v>
      </c>
      <c r="B1096" t="s">
        <v>2236</v>
      </c>
      <c r="C1096" t="s">
        <v>977</v>
      </c>
      <c r="D1096" t="s">
        <v>102</v>
      </c>
      <c r="E1096" t="str">
        <f>VLOOKUP(D1096,'Tên SP'!B$2:C$1070,2,0)</f>
        <v>NƯỚC GIẶT LIX HƯƠNG NƯỚC HOA 3,5KG/T04 TÚI</v>
      </c>
      <c r="F1096" s="4">
        <v>88000</v>
      </c>
      <c r="G1096">
        <v>1</v>
      </c>
      <c r="H1096" s="4">
        <v>88000</v>
      </c>
      <c r="I1096" s="4">
        <v>-4400</v>
      </c>
      <c r="J1096" s="5">
        <f t="shared" si="17"/>
        <v>83600</v>
      </c>
    </row>
    <row r="1097" spans="1:10" x14ac:dyDescent="0.25">
      <c r="A1097" s="6">
        <v>1105</v>
      </c>
      <c r="B1097" t="s">
        <v>2237</v>
      </c>
      <c r="C1097" t="s">
        <v>978</v>
      </c>
      <c r="D1097" t="s">
        <v>106</v>
      </c>
      <c r="E1097" t="str">
        <f>VLOOKUP(D1097,'Tên SP'!B$2:C$1070,2,0)</f>
        <v>NƯỚC GIẶT LIX SIÊU SẠCH HOA ANH ĐÀO 2.4KG/T06</v>
      </c>
      <c r="F1097" s="4">
        <v>60800</v>
      </c>
      <c r="G1097">
        <v>1</v>
      </c>
      <c r="H1097" s="4">
        <v>60800</v>
      </c>
      <c r="I1097" s="4">
        <v>-8000</v>
      </c>
      <c r="J1097" s="5">
        <f t="shared" si="17"/>
        <v>52800</v>
      </c>
    </row>
    <row r="1098" spans="1:10" x14ac:dyDescent="0.25">
      <c r="A1098" s="6">
        <v>1106</v>
      </c>
      <c r="B1098" t="s">
        <v>2238</v>
      </c>
      <c r="C1098" t="s">
        <v>979</v>
      </c>
      <c r="D1098" t="s">
        <v>9</v>
      </c>
      <c r="E1098" t="str">
        <f>VLOOKUP(D1098,'Tên SP'!B$2:C$1070,2,0)</f>
        <v>NƯỚC GIẶT LIX ĐẬM ĐẶC 3,5KG/T04 TÚI</v>
      </c>
      <c r="F1098" s="4">
        <v>92400</v>
      </c>
      <c r="G1098">
        <v>1</v>
      </c>
      <c r="H1098" s="4">
        <v>92400</v>
      </c>
      <c r="I1098" s="4">
        <v>-4620</v>
      </c>
      <c r="J1098" s="5">
        <f t="shared" si="17"/>
        <v>87780</v>
      </c>
    </row>
    <row r="1099" spans="1:10" x14ac:dyDescent="0.25">
      <c r="A1099" s="6">
        <v>1107</v>
      </c>
      <c r="B1099" t="s">
        <v>2238</v>
      </c>
      <c r="C1099" t="s">
        <v>979</v>
      </c>
      <c r="D1099" t="s">
        <v>64</v>
      </c>
      <c r="E1099" t="str">
        <f>VLOOKUP(D1099,'Tên SP'!B$2:C$1070,2,0)</f>
        <v>BỘT GIẶT LIX DD HƯƠNG NƯỚC HOA 5,5KG/03</v>
      </c>
      <c r="F1099" s="4">
        <v>147700</v>
      </c>
      <c r="G1099">
        <v>1</v>
      </c>
      <c r="H1099" s="4">
        <v>147700</v>
      </c>
      <c r="I1099" s="4">
        <v>-7385</v>
      </c>
      <c r="J1099" s="5">
        <f t="shared" si="17"/>
        <v>140315</v>
      </c>
    </row>
    <row r="1100" spans="1:10" x14ac:dyDescent="0.25">
      <c r="A1100" s="6">
        <v>1108</v>
      </c>
      <c r="B1100" t="s">
        <v>2238</v>
      </c>
      <c r="C1100" t="s">
        <v>979</v>
      </c>
      <c r="D1100" t="s">
        <v>71</v>
      </c>
      <c r="E1100" t="str">
        <f>VLOOKUP(D1100,'Tên SP'!B$2:C$1070,2,0)</f>
        <v>NƯỚC RỬA CHÉN SIÊU SẠCH CHANH 3,5KG/T04- TÚI</v>
      </c>
      <c r="F1100" s="4">
        <v>73000</v>
      </c>
      <c r="G1100">
        <v>1</v>
      </c>
      <c r="H1100" s="4">
        <v>73000</v>
      </c>
      <c r="I1100" s="4">
        <v>-3650</v>
      </c>
      <c r="J1100" s="5">
        <f t="shared" si="17"/>
        <v>69350</v>
      </c>
    </row>
    <row r="1101" spans="1:10" x14ac:dyDescent="0.25">
      <c r="A1101" s="6">
        <v>1109</v>
      </c>
      <c r="B1101" t="s">
        <v>2239</v>
      </c>
      <c r="C1101" t="s">
        <v>980</v>
      </c>
      <c r="D1101" t="s">
        <v>102</v>
      </c>
      <c r="E1101" t="str">
        <f>VLOOKUP(D1101,'Tên SP'!B$2:C$1070,2,0)</f>
        <v>NƯỚC GIẶT LIX HƯƠNG NƯỚC HOA 3,5KG/T04 TÚI</v>
      </c>
      <c r="F1101" s="4">
        <v>88000</v>
      </c>
      <c r="G1101">
        <v>1</v>
      </c>
      <c r="H1101" s="4">
        <v>88000</v>
      </c>
      <c r="I1101" s="4">
        <v>-8000</v>
      </c>
      <c r="J1101" s="5">
        <f t="shared" si="17"/>
        <v>80000</v>
      </c>
    </row>
    <row r="1102" spans="1:10" x14ac:dyDescent="0.25">
      <c r="A1102" s="6">
        <v>1110</v>
      </c>
      <c r="B1102" t="s">
        <v>2240</v>
      </c>
      <c r="C1102" t="s">
        <v>981</v>
      </c>
      <c r="D1102" t="s">
        <v>38</v>
      </c>
      <c r="E1102" t="str">
        <f>VLOOKUP(D1102,'Tên SP'!B$2:C$1070,2,0)</f>
        <v>BỘT GIẶT LIXE HƯƠNG NƯỚC HOA 5,5KG/03</v>
      </c>
      <c r="F1102" s="4">
        <v>127600</v>
      </c>
      <c r="G1102">
        <v>1</v>
      </c>
      <c r="H1102" s="4">
        <v>127600</v>
      </c>
      <c r="I1102" s="4">
        <v>-10000</v>
      </c>
      <c r="J1102" s="5">
        <f t="shared" si="17"/>
        <v>117600</v>
      </c>
    </row>
    <row r="1103" spans="1:10" x14ac:dyDescent="0.25">
      <c r="A1103" s="6">
        <v>1111</v>
      </c>
      <c r="B1103" t="s">
        <v>2241</v>
      </c>
      <c r="C1103" t="s">
        <v>982</v>
      </c>
      <c r="D1103" t="s">
        <v>102</v>
      </c>
      <c r="E1103" t="str">
        <f>VLOOKUP(D1103,'Tên SP'!B$2:C$1070,2,0)</f>
        <v>NƯỚC GIẶT LIX HƯƠNG NƯỚC HOA 3,5KG/T04 TÚI</v>
      </c>
      <c r="F1103" s="4">
        <v>88000</v>
      </c>
      <c r="G1103">
        <v>1</v>
      </c>
      <c r="H1103" s="4">
        <v>88000</v>
      </c>
      <c r="I1103" s="4">
        <v>-10000</v>
      </c>
      <c r="J1103" s="5">
        <f t="shared" si="17"/>
        <v>78000</v>
      </c>
    </row>
    <row r="1104" spans="1:10" x14ac:dyDescent="0.25">
      <c r="A1104" s="6">
        <v>1112</v>
      </c>
      <c r="B1104" t="s">
        <v>2242</v>
      </c>
      <c r="C1104" t="s">
        <v>983</v>
      </c>
      <c r="D1104" t="s">
        <v>102</v>
      </c>
      <c r="E1104" t="str">
        <f>VLOOKUP(D1104,'Tên SP'!B$2:C$1070,2,0)</f>
        <v>NƯỚC GIẶT LIX HƯƠNG NƯỚC HOA 3,5KG/T04 TÚI</v>
      </c>
      <c r="F1104" s="4">
        <v>88000</v>
      </c>
      <c r="G1104">
        <v>1</v>
      </c>
      <c r="H1104" s="4">
        <v>88000</v>
      </c>
      <c r="I1104" s="4">
        <v>-13200</v>
      </c>
      <c r="J1104" s="5">
        <f t="shared" si="17"/>
        <v>74800</v>
      </c>
    </row>
    <row r="1105" spans="1:10" x14ac:dyDescent="0.25">
      <c r="A1105" s="6">
        <v>1113</v>
      </c>
      <c r="B1105" t="s">
        <v>2243</v>
      </c>
      <c r="C1105" t="s">
        <v>984</v>
      </c>
      <c r="D1105" t="s">
        <v>106</v>
      </c>
      <c r="E1105" t="str">
        <f>VLOOKUP(D1105,'Tên SP'!B$2:C$1070,2,0)</f>
        <v>NƯỚC GIẶT LIX SIÊU SẠCH HOA ANH ĐÀO 2.4KG/T06</v>
      </c>
      <c r="F1105" s="4">
        <v>60800</v>
      </c>
      <c r="G1105">
        <v>1</v>
      </c>
      <c r="H1105" s="4">
        <v>60800</v>
      </c>
      <c r="I1105" s="4">
        <v>-9120</v>
      </c>
      <c r="J1105" s="5">
        <f t="shared" si="17"/>
        <v>51680</v>
      </c>
    </row>
    <row r="1106" spans="1:10" x14ac:dyDescent="0.25">
      <c r="A1106" s="6">
        <v>1114</v>
      </c>
      <c r="B1106" t="s">
        <v>2244</v>
      </c>
      <c r="C1106" t="s">
        <v>985</v>
      </c>
      <c r="D1106" t="s">
        <v>100</v>
      </c>
      <c r="E1106" t="str">
        <f>VLOOKUP(D1106,'Tên SP'!B$2:C$1070,2,0)</f>
        <v>NƯỚC GIẶT LIX HƯƠNG NƯỚC HOA 3,6KG/C04</v>
      </c>
      <c r="F1106" s="4">
        <v>105600</v>
      </c>
      <c r="G1106">
        <v>1</v>
      </c>
      <c r="H1106" s="4">
        <v>105600</v>
      </c>
      <c r="I1106" s="4">
        <v>0</v>
      </c>
      <c r="J1106" s="5">
        <f t="shared" si="17"/>
        <v>105600</v>
      </c>
    </row>
    <row r="1107" spans="1:10" x14ac:dyDescent="0.25">
      <c r="A1107" s="6">
        <v>1115</v>
      </c>
      <c r="B1107" t="s">
        <v>2245</v>
      </c>
      <c r="C1107" t="s">
        <v>986</v>
      </c>
      <c r="D1107" t="s">
        <v>102</v>
      </c>
      <c r="E1107" t="str">
        <f>VLOOKUP(D1107,'Tên SP'!B$2:C$1070,2,0)</f>
        <v>NƯỚC GIẶT LIX HƯƠNG NƯỚC HOA 3,5KG/T04 TÚI</v>
      </c>
      <c r="F1107" s="4">
        <v>88000</v>
      </c>
      <c r="G1107">
        <v>1</v>
      </c>
      <c r="H1107" s="4">
        <v>88000</v>
      </c>
      <c r="I1107" s="4">
        <v>-4400</v>
      </c>
      <c r="J1107" s="5">
        <f t="shared" si="17"/>
        <v>83600</v>
      </c>
    </row>
    <row r="1108" spans="1:10" x14ac:dyDescent="0.25">
      <c r="A1108" s="6">
        <v>1117</v>
      </c>
      <c r="B1108" t="s">
        <v>2245</v>
      </c>
      <c r="C1108" t="s">
        <v>986</v>
      </c>
      <c r="D1108" t="s">
        <v>172</v>
      </c>
      <c r="E1108" t="str">
        <f>VLOOKUP(D1108,'Tên SP'!B$2:C$1070,2,0)</f>
        <v>NƯỚC LAU SÀN ON1 TINH DẦU SẢ 2,6L/C06</v>
      </c>
      <c r="F1108" s="4">
        <v>88100</v>
      </c>
      <c r="G1108">
        <v>1</v>
      </c>
      <c r="H1108" s="4">
        <v>88100</v>
      </c>
      <c r="I1108" s="4">
        <v>-8810</v>
      </c>
      <c r="J1108" s="5">
        <f t="shared" si="17"/>
        <v>79290</v>
      </c>
    </row>
    <row r="1109" spans="1:10" x14ac:dyDescent="0.25">
      <c r="A1109" s="6">
        <v>1118</v>
      </c>
      <c r="B1109" t="s">
        <v>2246</v>
      </c>
      <c r="C1109" t="s">
        <v>987</v>
      </c>
      <c r="D1109" t="s">
        <v>97</v>
      </c>
      <c r="E1109" t="str">
        <f>VLOOKUP(D1109,'Tên SP'!B$2:C$1070,2,0)</f>
        <v>NƯỚC GIẶT LIX ĐẬM ĐẶC 3,6KG/C04</v>
      </c>
      <c r="F1109" s="4">
        <v>105600</v>
      </c>
      <c r="G1109">
        <v>1</v>
      </c>
      <c r="H1109" s="4">
        <v>105600</v>
      </c>
      <c r="I1109" s="4">
        <v>-10000</v>
      </c>
      <c r="J1109" s="5">
        <f t="shared" si="17"/>
        <v>95600</v>
      </c>
    </row>
    <row r="1110" spans="1:10" x14ac:dyDescent="0.25">
      <c r="A1110" s="6">
        <v>1119</v>
      </c>
      <c r="B1110" t="s">
        <v>2247</v>
      </c>
      <c r="C1110" t="s">
        <v>988</v>
      </c>
      <c r="D1110" t="s">
        <v>9</v>
      </c>
      <c r="E1110" t="str">
        <f>VLOOKUP(D1110,'Tên SP'!B$2:C$1070,2,0)</f>
        <v>NƯỚC GIẶT LIX ĐẬM ĐẶC 3,5KG/T04 TÚI</v>
      </c>
      <c r="F1110" s="4">
        <v>91350</v>
      </c>
      <c r="G1110">
        <v>1</v>
      </c>
      <c r="H1110" s="4">
        <v>91350</v>
      </c>
      <c r="I1110" s="4">
        <v>-13703</v>
      </c>
      <c r="J1110" s="5">
        <f t="shared" si="17"/>
        <v>77647</v>
      </c>
    </row>
    <row r="1111" spans="1:10" x14ac:dyDescent="0.25">
      <c r="A1111" s="6">
        <v>1120</v>
      </c>
      <c r="B1111" t="s">
        <v>2248</v>
      </c>
      <c r="C1111" t="s">
        <v>989</v>
      </c>
      <c r="D1111" t="s">
        <v>51</v>
      </c>
      <c r="E1111" t="str">
        <f>VLOOKUP(D1111,'Tên SP'!B$2:C$1070,2,0)</f>
        <v>BỘT GIẶT LIX ĐẬM ĐẶC 5,5KG/03</v>
      </c>
      <c r="F1111" s="4">
        <v>144420</v>
      </c>
      <c r="G1111">
        <v>1</v>
      </c>
      <c r="H1111" s="4">
        <v>144420</v>
      </c>
      <c r="I1111" s="4">
        <v>-7221</v>
      </c>
      <c r="J1111" s="5">
        <f t="shared" si="17"/>
        <v>137199</v>
      </c>
    </row>
    <row r="1112" spans="1:10" x14ac:dyDescent="0.25">
      <c r="A1112" s="6">
        <v>1121</v>
      </c>
      <c r="B1112" t="s">
        <v>2248</v>
      </c>
      <c r="C1112" t="s">
        <v>989</v>
      </c>
      <c r="D1112" t="s">
        <v>23</v>
      </c>
      <c r="E1112" t="str">
        <f>VLOOKUP(D1112,'Tên SP'!B$2:C$1070,2,0)</f>
        <v>NƯỚC XẢ VẢI LIXSOFT 3,6L/C04</v>
      </c>
      <c r="F1112" s="4">
        <v>81000</v>
      </c>
      <c r="G1112">
        <v>1</v>
      </c>
      <c r="H1112" s="4">
        <v>81000</v>
      </c>
      <c r="I1112" s="4">
        <v>-4050</v>
      </c>
      <c r="J1112" s="5">
        <f t="shared" si="17"/>
        <v>76950</v>
      </c>
    </row>
    <row r="1113" spans="1:10" x14ac:dyDescent="0.25">
      <c r="A1113" s="6">
        <v>1122</v>
      </c>
      <c r="B1113" t="s">
        <v>2248</v>
      </c>
      <c r="C1113" t="s">
        <v>989</v>
      </c>
      <c r="D1113" t="s">
        <v>9</v>
      </c>
      <c r="E1113" t="str">
        <f>VLOOKUP(D1113,'Tên SP'!B$2:C$1070,2,0)</f>
        <v>NƯỚC GIẶT LIX ĐẬM ĐẶC 3,5KG/T04 TÚI</v>
      </c>
      <c r="F1113" s="4">
        <v>91350</v>
      </c>
      <c r="G1113">
        <v>1</v>
      </c>
      <c r="H1113" s="4">
        <v>91350</v>
      </c>
      <c r="I1113" s="4">
        <v>-4568</v>
      </c>
      <c r="J1113" s="5">
        <f t="shared" si="17"/>
        <v>86782</v>
      </c>
    </row>
    <row r="1114" spans="1:10" x14ac:dyDescent="0.25">
      <c r="A1114" s="6">
        <v>1123</v>
      </c>
      <c r="B1114" t="s">
        <v>2249</v>
      </c>
      <c r="C1114" t="s">
        <v>990</v>
      </c>
      <c r="D1114" t="s">
        <v>42</v>
      </c>
      <c r="E1114" t="str">
        <f>VLOOKUP(D1114,'Tên SP'!B$2:C$1070,2,0)</f>
        <v>BỘT GIẶT LIXE HƯƠNG NƯỚC HOA 2,4KG/05</v>
      </c>
      <c r="F1114" s="4">
        <v>66000</v>
      </c>
      <c r="G1114">
        <v>1</v>
      </c>
      <c r="H1114" s="4">
        <v>66000</v>
      </c>
      <c r="I1114" s="4">
        <v>-1</v>
      </c>
      <c r="J1114" s="5">
        <f t="shared" si="17"/>
        <v>65999</v>
      </c>
    </row>
    <row r="1115" spans="1:10" x14ac:dyDescent="0.25">
      <c r="A1115" s="6">
        <v>1124</v>
      </c>
      <c r="B1115" t="s">
        <v>2249</v>
      </c>
      <c r="C1115" t="s">
        <v>990</v>
      </c>
      <c r="D1115" t="s">
        <v>184</v>
      </c>
      <c r="E1115" t="str">
        <f>VLOOKUP(D1115,'Tên SP'!B$2:C$1070,2,0)</f>
        <v>GEL DIỆT KHUẨN TAY ON1 60ML/CH80</v>
      </c>
      <c r="F1115" s="4">
        <v>22000</v>
      </c>
      <c r="G1115">
        <v>1</v>
      </c>
      <c r="H1115" s="4">
        <v>22000</v>
      </c>
      <c r="I1115" s="4">
        <v>-22000</v>
      </c>
      <c r="J1115" s="5">
        <f t="shared" si="17"/>
        <v>0</v>
      </c>
    </row>
    <row r="1116" spans="1:10" x14ac:dyDescent="0.25">
      <c r="A1116" s="6">
        <v>1125</v>
      </c>
      <c r="B1116" t="s">
        <v>2250</v>
      </c>
      <c r="C1116" t="s">
        <v>991</v>
      </c>
      <c r="D1116" t="s">
        <v>9</v>
      </c>
      <c r="E1116" t="str">
        <f>VLOOKUP(D1116,'Tên SP'!B$2:C$1070,2,0)</f>
        <v>NƯỚC GIẶT LIX ĐẬM ĐẶC 3,5KG/T04 TÚI</v>
      </c>
      <c r="F1116" s="4">
        <v>91350</v>
      </c>
      <c r="G1116">
        <v>1</v>
      </c>
      <c r="H1116" s="4">
        <v>91350</v>
      </c>
      <c r="I1116" s="4">
        <v>-4568</v>
      </c>
      <c r="J1116" s="5">
        <f t="shared" si="17"/>
        <v>86782</v>
      </c>
    </row>
    <row r="1117" spans="1:10" x14ac:dyDescent="0.25">
      <c r="A1117" s="6">
        <v>1126</v>
      </c>
      <c r="B1117" t="s">
        <v>2250</v>
      </c>
      <c r="C1117" t="s">
        <v>991</v>
      </c>
      <c r="D1117" t="s">
        <v>9</v>
      </c>
      <c r="E1117" t="str">
        <f>VLOOKUP(D1117,'Tên SP'!B$2:C$1070,2,0)</f>
        <v>NƯỚC GIẶT LIX ĐẬM ĐẶC 3,5KG/T04 TÚI</v>
      </c>
      <c r="F1117" s="4">
        <v>91350</v>
      </c>
      <c r="G1117">
        <v>1</v>
      </c>
      <c r="H1117" s="4">
        <v>91350</v>
      </c>
      <c r="I1117" s="4">
        <v>-4568</v>
      </c>
      <c r="J1117" s="5">
        <f t="shared" si="17"/>
        <v>86782</v>
      </c>
    </row>
    <row r="1118" spans="1:10" x14ac:dyDescent="0.25">
      <c r="A1118" s="6">
        <v>1127</v>
      </c>
      <c r="B1118" t="s">
        <v>2250</v>
      </c>
      <c r="C1118" t="s">
        <v>991</v>
      </c>
      <c r="D1118" t="s">
        <v>184</v>
      </c>
      <c r="E1118" t="str">
        <f>VLOOKUP(D1118,'Tên SP'!B$2:C$1070,2,0)</f>
        <v>GEL DIỆT KHUẨN TAY ON1 60ML/CH80</v>
      </c>
      <c r="F1118" s="4">
        <v>22000</v>
      </c>
      <c r="G1118">
        <v>1</v>
      </c>
      <c r="H1118" s="4">
        <v>22000</v>
      </c>
      <c r="I1118" s="4">
        <v>-22000</v>
      </c>
      <c r="J1118" s="5">
        <f t="shared" si="17"/>
        <v>0</v>
      </c>
    </row>
    <row r="1119" spans="1:10" x14ac:dyDescent="0.25">
      <c r="A1119" s="6">
        <v>1128</v>
      </c>
      <c r="B1119" t="s">
        <v>2251</v>
      </c>
      <c r="C1119" t="s">
        <v>992</v>
      </c>
      <c r="D1119" t="s">
        <v>87</v>
      </c>
      <c r="E1119" t="str">
        <f>VLOOKUP(D1119,'Tên SP'!B$2:C$1070,2,0)</f>
        <v>NƯỚC RỬA CHÉN SIÊU SẠCH TRÀ 1,4KG/C04</v>
      </c>
      <c r="F1119" s="4">
        <v>39600</v>
      </c>
      <c r="G1119">
        <v>1</v>
      </c>
      <c r="H1119" s="4">
        <v>39600</v>
      </c>
      <c r="I1119" s="4">
        <v>-5941</v>
      </c>
      <c r="J1119" s="5">
        <f t="shared" si="17"/>
        <v>33659</v>
      </c>
    </row>
    <row r="1120" spans="1:10" x14ac:dyDescent="0.25">
      <c r="A1120" s="6">
        <v>1129</v>
      </c>
      <c r="B1120" t="s">
        <v>2251</v>
      </c>
      <c r="C1120" t="s">
        <v>992</v>
      </c>
      <c r="D1120" t="s">
        <v>184</v>
      </c>
      <c r="E1120" t="str">
        <f>VLOOKUP(D1120,'Tên SP'!B$2:C$1070,2,0)</f>
        <v>GEL DIỆT KHUẨN TAY ON1 60ML/CH80</v>
      </c>
      <c r="F1120" s="4">
        <v>22000</v>
      </c>
      <c r="G1120">
        <v>1</v>
      </c>
      <c r="H1120" s="4">
        <v>22000</v>
      </c>
      <c r="I1120" s="4">
        <v>-22000</v>
      </c>
      <c r="J1120" s="5">
        <f t="shared" si="17"/>
        <v>0</v>
      </c>
    </row>
    <row r="1121" spans="1:10" x14ac:dyDescent="0.25">
      <c r="A1121" s="6">
        <v>1130</v>
      </c>
      <c r="B1121" t="s">
        <v>2252</v>
      </c>
      <c r="C1121" t="s">
        <v>993</v>
      </c>
      <c r="D1121" t="s">
        <v>102</v>
      </c>
      <c r="E1121" t="str">
        <f>VLOOKUP(D1121,'Tên SP'!B$2:C$1070,2,0)</f>
        <v>NƯỚC GIẶT LIX HƯƠNG NƯỚC HOA 3,5KG/T04 TÚI</v>
      </c>
      <c r="F1121" s="4">
        <v>88000</v>
      </c>
      <c r="G1121">
        <v>1</v>
      </c>
      <c r="H1121" s="4">
        <v>88000</v>
      </c>
      <c r="I1121" s="4">
        <v>-1</v>
      </c>
      <c r="J1121" s="5">
        <f t="shared" si="17"/>
        <v>87999</v>
      </c>
    </row>
    <row r="1122" spans="1:10" x14ac:dyDescent="0.25">
      <c r="A1122" s="6">
        <v>1131</v>
      </c>
      <c r="B1122" t="s">
        <v>2252</v>
      </c>
      <c r="C1122" t="s">
        <v>993</v>
      </c>
      <c r="D1122" t="s">
        <v>184</v>
      </c>
      <c r="E1122" t="str">
        <f>VLOOKUP(D1122,'Tên SP'!B$2:C$1070,2,0)</f>
        <v>GEL DIỆT KHUẨN TAY ON1 60ML/CH80</v>
      </c>
      <c r="F1122" s="4">
        <v>22000</v>
      </c>
      <c r="G1122">
        <v>1</v>
      </c>
      <c r="H1122" s="4">
        <v>22000</v>
      </c>
      <c r="I1122" s="4">
        <v>-22000</v>
      </c>
      <c r="J1122" s="5">
        <f t="shared" si="17"/>
        <v>0</v>
      </c>
    </row>
    <row r="1123" spans="1:10" x14ac:dyDescent="0.25">
      <c r="A1123" s="6">
        <v>1132</v>
      </c>
      <c r="B1123" t="s">
        <v>2253</v>
      </c>
      <c r="C1123" t="s">
        <v>994</v>
      </c>
      <c r="D1123" t="s">
        <v>102</v>
      </c>
      <c r="E1123" t="str">
        <f>VLOOKUP(D1123,'Tên SP'!B$2:C$1070,2,0)</f>
        <v>NƯỚC GIẶT LIX HƯƠNG NƯỚC HOA 3,5KG/T04 TÚI</v>
      </c>
      <c r="F1123" s="4">
        <v>88000</v>
      </c>
      <c r="G1123">
        <v>1</v>
      </c>
      <c r="H1123" s="4">
        <v>88000</v>
      </c>
      <c r="I1123" s="4">
        <v>-13201</v>
      </c>
      <c r="J1123" s="5">
        <f t="shared" si="17"/>
        <v>74799</v>
      </c>
    </row>
    <row r="1124" spans="1:10" x14ac:dyDescent="0.25">
      <c r="A1124" s="6">
        <v>1133</v>
      </c>
      <c r="B1124" t="s">
        <v>2253</v>
      </c>
      <c r="C1124" t="s">
        <v>994</v>
      </c>
      <c r="D1124" t="s">
        <v>184</v>
      </c>
      <c r="E1124" t="str">
        <f>VLOOKUP(D1124,'Tên SP'!B$2:C$1070,2,0)</f>
        <v>GEL DIỆT KHUẨN TAY ON1 60ML/CH80</v>
      </c>
      <c r="F1124" s="4">
        <v>22000</v>
      </c>
      <c r="G1124">
        <v>1</v>
      </c>
      <c r="H1124" s="4">
        <v>22000</v>
      </c>
      <c r="I1124" s="4">
        <v>-22000</v>
      </c>
      <c r="J1124" s="5">
        <f t="shared" si="17"/>
        <v>0</v>
      </c>
    </row>
    <row r="1125" spans="1:10" x14ac:dyDescent="0.25">
      <c r="A1125" s="6">
        <v>1134</v>
      </c>
      <c r="B1125" t="s">
        <v>2254</v>
      </c>
      <c r="C1125" t="s">
        <v>995</v>
      </c>
      <c r="D1125" t="s">
        <v>106</v>
      </c>
      <c r="E1125" t="str">
        <f>VLOOKUP(D1125,'Tên SP'!B$2:C$1070,2,0)</f>
        <v>NƯỚC GIẶT LIX SIÊU SẠCH HOA ANH ĐÀO 2.4KG/T06</v>
      </c>
      <c r="F1125" s="4">
        <v>60800</v>
      </c>
      <c r="G1125">
        <v>1</v>
      </c>
      <c r="H1125" s="4">
        <v>60800</v>
      </c>
      <c r="I1125" s="4">
        <v>-9121</v>
      </c>
      <c r="J1125" s="5">
        <f t="shared" si="17"/>
        <v>51679</v>
      </c>
    </row>
    <row r="1126" spans="1:10" x14ac:dyDescent="0.25">
      <c r="A1126" s="6">
        <v>1135</v>
      </c>
      <c r="B1126" t="s">
        <v>2254</v>
      </c>
      <c r="C1126" t="s">
        <v>995</v>
      </c>
      <c r="D1126" t="s">
        <v>184</v>
      </c>
      <c r="E1126" t="str">
        <f>VLOOKUP(D1126,'Tên SP'!B$2:C$1070,2,0)</f>
        <v>GEL DIỆT KHUẨN TAY ON1 60ML/CH80</v>
      </c>
      <c r="F1126" s="4">
        <v>22000</v>
      </c>
      <c r="G1126">
        <v>1</v>
      </c>
      <c r="H1126" s="4">
        <v>22000</v>
      </c>
      <c r="I1126" s="4">
        <v>-22000</v>
      </c>
      <c r="J1126" s="5">
        <f t="shared" si="17"/>
        <v>0</v>
      </c>
    </row>
    <row r="1127" spans="1:10" x14ac:dyDescent="0.25">
      <c r="A1127" s="6">
        <v>1136</v>
      </c>
      <c r="B1127" t="s">
        <v>2255</v>
      </c>
      <c r="C1127" t="s">
        <v>996</v>
      </c>
      <c r="D1127" t="s">
        <v>9</v>
      </c>
      <c r="E1127" t="str">
        <f>VLOOKUP(D1127,'Tên SP'!B$2:C$1070,2,0)</f>
        <v>NƯỚC GIẶT LIX ĐẬM ĐẶC 3,5KG/T04 TÚI</v>
      </c>
      <c r="F1127" s="4">
        <v>91350</v>
      </c>
      <c r="G1127">
        <v>1</v>
      </c>
      <c r="H1127" s="4">
        <v>91350</v>
      </c>
      <c r="I1127" s="4">
        <v>-4568</v>
      </c>
      <c r="J1127" s="5">
        <f t="shared" si="17"/>
        <v>86782</v>
      </c>
    </row>
    <row r="1128" spans="1:10" x14ac:dyDescent="0.25">
      <c r="A1128" s="6">
        <v>1137</v>
      </c>
      <c r="B1128" t="s">
        <v>2255</v>
      </c>
      <c r="C1128" t="s">
        <v>996</v>
      </c>
      <c r="D1128" t="s">
        <v>9</v>
      </c>
      <c r="E1128" t="str">
        <f>VLOOKUP(D1128,'Tên SP'!B$2:C$1070,2,0)</f>
        <v>NƯỚC GIẶT LIX ĐẬM ĐẶC 3,5KG/T04 TÚI</v>
      </c>
      <c r="F1128" s="4">
        <v>91350</v>
      </c>
      <c r="G1128">
        <v>1</v>
      </c>
      <c r="H1128" s="4">
        <v>91350</v>
      </c>
      <c r="I1128" s="4">
        <v>-4568</v>
      </c>
      <c r="J1128" s="5">
        <f t="shared" si="17"/>
        <v>86782</v>
      </c>
    </row>
    <row r="1129" spans="1:10" x14ac:dyDescent="0.25">
      <c r="A1129" s="6">
        <v>1138</v>
      </c>
      <c r="B1129" t="s">
        <v>2255</v>
      </c>
      <c r="C1129" t="s">
        <v>996</v>
      </c>
      <c r="D1129" t="s">
        <v>9</v>
      </c>
      <c r="E1129" t="str">
        <f>VLOOKUP(D1129,'Tên SP'!B$2:C$1070,2,0)</f>
        <v>NƯỚC GIẶT LIX ĐẬM ĐẶC 3,5KG/T04 TÚI</v>
      </c>
      <c r="F1129" s="4">
        <v>91350</v>
      </c>
      <c r="G1129">
        <v>1</v>
      </c>
      <c r="H1129" s="4">
        <v>91350</v>
      </c>
      <c r="I1129" s="4">
        <v>-4568</v>
      </c>
      <c r="J1129" s="5">
        <f t="shared" si="17"/>
        <v>86782</v>
      </c>
    </row>
    <row r="1130" spans="1:10" x14ac:dyDescent="0.25">
      <c r="A1130" s="6">
        <v>1139</v>
      </c>
      <c r="B1130" t="s">
        <v>2255</v>
      </c>
      <c r="C1130" t="s">
        <v>996</v>
      </c>
      <c r="D1130" t="s">
        <v>23</v>
      </c>
      <c r="E1130" t="str">
        <f>VLOOKUP(D1130,'Tên SP'!B$2:C$1070,2,0)</f>
        <v>NƯỚC XẢ VẢI LIXSOFT 3,6L/C04</v>
      </c>
      <c r="F1130" s="4">
        <v>81000</v>
      </c>
      <c r="G1130">
        <v>1</v>
      </c>
      <c r="H1130" s="4">
        <v>81000</v>
      </c>
      <c r="I1130" s="4">
        <v>-4050</v>
      </c>
      <c r="J1130" s="5">
        <f t="shared" si="17"/>
        <v>76950</v>
      </c>
    </row>
    <row r="1131" spans="1:10" x14ac:dyDescent="0.25">
      <c r="A1131" s="6">
        <v>1140</v>
      </c>
      <c r="B1131" t="s">
        <v>2255</v>
      </c>
      <c r="C1131" t="s">
        <v>996</v>
      </c>
      <c r="D1131" t="s">
        <v>184</v>
      </c>
      <c r="E1131" t="str">
        <f>VLOOKUP(D1131,'Tên SP'!B$2:C$1070,2,0)</f>
        <v>GEL DIỆT KHUẨN TAY ON1 60ML/CH80</v>
      </c>
      <c r="F1131" s="4">
        <v>22000</v>
      </c>
      <c r="G1131">
        <v>1</v>
      </c>
      <c r="H1131" s="4">
        <v>22000</v>
      </c>
      <c r="I1131" s="4">
        <v>-22000</v>
      </c>
      <c r="J1131" s="5">
        <f t="shared" si="17"/>
        <v>0</v>
      </c>
    </row>
    <row r="1132" spans="1:10" x14ac:dyDescent="0.25">
      <c r="A1132" s="6">
        <v>1141</v>
      </c>
      <c r="B1132" t="s">
        <v>2256</v>
      </c>
      <c r="C1132" t="s">
        <v>997</v>
      </c>
      <c r="D1132" t="s">
        <v>102</v>
      </c>
      <c r="E1132" t="str">
        <f>VLOOKUP(D1132,'Tên SP'!B$2:C$1070,2,0)</f>
        <v>NƯỚC GIẶT LIX HƯƠNG NƯỚC HOA 3,5KG/T04 TÚI</v>
      </c>
      <c r="F1132" s="4">
        <v>88000</v>
      </c>
      <c r="G1132">
        <v>1</v>
      </c>
      <c r="H1132" s="4">
        <v>88000</v>
      </c>
      <c r="I1132" s="4">
        <v>-13201</v>
      </c>
      <c r="J1132" s="5">
        <f t="shared" si="17"/>
        <v>74799</v>
      </c>
    </row>
    <row r="1133" spans="1:10" x14ac:dyDescent="0.25">
      <c r="A1133" s="6">
        <v>1142</v>
      </c>
      <c r="B1133" t="s">
        <v>2256</v>
      </c>
      <c r="C1133" t="s">
        <v>997</v>
      </c>
      <c r="D1133" t="s">
        <v>184</v>
      </c>
      <c r="E1133" t="str">
        <f>VLOOKUP(D1133,'Tên SP'!B$2:C$1070,2,0)</f>
        <v>GEL DIỆT KHUẨN TAY ON1 60ML/CH80</v>
      </c>
      <c r="F1133" s="4">
        <v>22000</v>
      </c>
      <c r="G1133">
        <v>1</v>
      </c>
      <c r="H1133" s="4">
        <v>22000</v>
      </c>
      <c r="I1133" s="4">
        <v>-22000</v>
      </c>
      <c r="J1133" s="5">
        <f t="shared" si="17"/>
        <v>0</v>
      </c>
    </row>
    <row r="1134" spans="1:10" x14ac:dyDescent="0.25">
      <c r="A1134" s="6">
        <v>1143</v>
      </c>
      <c r="B1134" t="s">
        <v>2257</v>
      </c>
      <c r="C1134" t="s">
        <v>998</v>
      </c>
      <c r="D1134" t="s">
        <v>102</v>
      </c>
      <c r="E1134" t="str">
        <f>VLOOKUP(D1134,'Tên SP'!B$2:C$1070,2,0)</f>
        <v>NƯỚC GIẶT LIX HƯƠNG NƯỚC HOA 3,5KG/T04 TÚI</v>
      </c>
      <c r="F1134" s="4">
        <v>88000</v>
      </c>
      <c r="G1134">
        <v>1</v>
      </c>
      <c r="H1134" s="4">
        <v>88000</v>
      </c>
      <c r="I1134" s="4">
        <v>-1</v>
      </c>
      <c r="J1134" s="5">
        <f t="shared" si="17"/>
        <v>87999</v>
      </c>
    </row>
    <row r="1135" spans="1:10" x14ac:dyDescent="0.25">
      <c r="A1135" s="6">
        <v>1144</v>
      </c>
      <c r="B1135" t="s">
        <v>2257</v>
      </c>
      <c r="C1135" t="s">
        <v>998</v>
      </c>
      <c r="D1135" t="s">
        <v>184</v>
      </c>
      <c r="E1135" t="str">
        <f>VLOOKUP(D1135,'Tên SP'!B$2:C$1070,2,0)</f>
        <v>GEL DIỆT KHUẨN TAY ON1 60ML/CH80</v>
      </c>
      <c r="F1135" s="4">
        <v>22000</v>
      </c>
      <c r="G1135">
        <v>1</v>
      </c>
      <c r="H1135" s="4">
        <v>22000</v>
      </c>
      <c r="I1135" s="4">
        <v>-22000</v>
      </c>
      <c r="J1135" s="5">
        <f t="shared" si="17"/>
        <v>0</v>
      </c>
    </row>
    <row r="1136" spans="1:10" x14ac:dyDescent="0.25">
      <c r="A1136" s="6">
        <v>1145</v>
      </c>
      <c r="B1136" t="s">
        <v>2258</v>
      </c>
      <c r="C1136" t="s">
        <v>999</v>
      </c>
      <c r="D1136" t="s">
        <v>9</v>
      </c>
      <c r="E1136" t="str">
        <f>VLOOKUP(D1136,'Tên SP'!B$2:C$1070,2,0)</f>
        <v>NƯỚC GIẶT LIX ĐẬM ĐẶC 3,5KG/T04 TÚI</v>
      </c>
      <c r="F1136" s="4">
        <v>92400</v>
      </c>
      <c r="G1136">
        <v>1</v>
      </c>
      <c r="H1136" s="4">
        <v>92400</v>
      </c>
      <c r="I1136" s="4">
        <v>-1</v>
      </c>
      <c r="J1136" s="5">
        <f t="shared" si="17"/>
        <v>92399</v>
      </c>
    </row>
    <row r="1137" spans="1:10" x14ac:dyDescent="0.25">
      <c r="A1137" s="6">
        <v>1146</v>
      </c>
      <c r="B1137" t="s">
        <v>2258</v>
      </c>
      <c r="C1137" t="s">
        <v>999</v>
      </c>
      <c r="D1137" t="s">
        <v>184</v>
      </c>
      <c r="E1137" t="str">
        <f>VLOOKUP(D1137,'Tên SP'!B$2:C$1070,2,0)</f>
        <v>GEL DIỆT KHUẨN TAY ON1 60ML/CH80</v>
      </c>
      <c r="F1137" s="4">
        <v>22000</v>
      </c>
      <c r="G1137">
        <v>1</v>
      </c>
      <c r="H1137" s="4">
        <v>22000</v>
      </c>
      <c r="I1137" s="4">
        <v>-22000</v>
      </c>
      <c r="J1137" s="5">
        <f t="shared" si="17"/>
        <v>0</v>
      </c>
    </row>
    <row r="1138" spans="1:10" x14ac:dyDescent="0.25">
      <c r="A1138" s="6">
        <v>1147</v>
      </c>
      <c r="B1138" t="s">
        <v>2259</v>
      </c>
      <c r="C1138" t="s">
        <v>1000</v>
      </c>
      <c r="D1138" t="s">
        <v>9</v>
      </c>
      <c r="E1138" t="str">
        <f>VLOOKUP(D1138,'Tên SP'!B$2:C$1070,2,0)</f>
        <v>NƯỚC GIẶT LIX ĐẬM ĐẶC 3,5KG/T04 TÚI</v>
      </c>
      <c r="F1138" s="4">
        <v>92400</v>
      </c>
      <c r="G1138">
        <v>1</v>
      </c>
      <c r="H1138" s="4">
        <v>92400</v>
      </c>
      <c r="I1138" s="4">
        <v>-10000</v>
      </c>
      <c r="J1138" s="5">
        <f t="shared" si="17"/>
        <v>82400</v>
      </c>
    </row>
    <row r="1139" spans="1:10" x14ac:dyDescent="0.25">
      <c r="A1139" s="6">
        <v>1148</v>
      </c>
      <c r="B1139" t="s">
        <v>2259</v>
      </c>
      <c r="C1139" t="s">
        <v>1000</v>
      </c>
      <c r="D1139" t="s">
        <v>9</v>
      </c>
      <c r="E1139" t="str">
        <f>VLOOKUP(D1139,'Tên SP'!B$2:C$1070,2,0)</f>
        <v>NƯỚC GIẶT LIX ĐẬM ĐẶC 3,5KG/T04 TÚI</v>
      </c>
      <c r="F1139" s="4">
        <v>92400</v>
      </c>
      <c r="G1139">
        <v>1</v>
      </c>
      <c r="H1139" s="4">
        <v>92400</v>
      </c>
      <c r="I1139" s="4">
        <v>-10000</v>
      </c>
      <c r="J1139" s="5">
        <f t="shared" si="17"/>
        <v>82400</v>
      </c>
    </row>
    <row r="1140" spans="1:10" x14ac:dyDescent="0.25">
      <c r="A1140" s="6">
        <v>1149</v>
      </c>
      <c r="B1140" t="s">
        <v>2259</v>
      </c>
      <c r="C1140" t="s">
        <v>1000</v>
      </c>
      <c r="D1140" t="s">
        <v>9</v>
      </c>
      <c r="E1140" t="str">
        <f>VLOOKUP(D1140,'Tên SP'!B$2:C$1070,2,0)</f>
        <v>NƯỚC GIẶT LIX ĐẬM ĐẶC 3,5KG/T04 TÚI</v>
      </c>
      <c r="F1140" s="4">
        <v>92400</v>
      </c>
      <c r="G1140">
        <v>1</v>
      </c>
      <c r="H1140" s="4">
        <v>92400</v>
      </c>
      <c r="I1140" s="4">
        <v>-10000</v>
      </c>
      <c r="J1140" s="5">
        <f t="shared" si="17"/>
        <v>82400</v>
      </c>
    </row>
    <row r="1141" spans="1:10" x14ac:dyDescent="0.25">
      <c r="A1141" s="6">
        <v>1150</v>
      </c>
      <c r="B1141" t="s">
        <v>2259</v>
      </c>
      <c r="C1141" t="s">
        <v>1000</v>
      </c>
      <c r="D1141" t="s">
        <v>9</v>
      </c>
      <c r="E1141" t="str">
        <f>VLOOKUP(D1141,'Tên SP'!B$2:C$1070,2,0)</f>
        <v>NƯỚC GIẶT LIX ĐẬM ĐẶC 3,5KG/T04 TÚI</v>
      </c>
      <c r="F1141" s="4">
        <v>92400</v>
      </c>
      <c r="G1141">
        <v>1</v>
      </c>
      <c r="H1141" s="4">
        <v>92400</v>
      </c>
      <c r="I1141" s="4">
        <v>-10001</v>
      </c>
      <c r="J1141" s="5">
        <f t="shared" si="17"/>
        <v>82399</v>
      </c>
    </row>
    <row r="1142" spans="1:10" x14ac:dyDescent="0.25">
      <c r="A1142" s="6">
        <v>1151</v>
      </c>
      <c r="B1142" t="s">
        <v>2259</v>
      </c>
      <c r="C1142" t="s">
        <v>1000</v>
      </c>
      <c r="D1142" t="s">
        <v>9</v>
      </c>
      <c r="E1142" t="str">
        <f>VLOOKUP(D1142,'Tên SP'!B$2:C$1070,2,0)</f>
        <v>NƯỚC GIẶT LIX ĐẬM ĐẶC 3,5KG/T04 TÚI</v>
      </c>
      <c r="F1142" s="4">
        <v>92400</v>
      </c>
      <c r="G1142">
        <v>1</v>
      </c>
      <c r="H1142" s="4">
        <v>92400</v>
      </c>
      <c r="I1142" s="4">
        <v>-10000</v>
      </c>
      <c r="J1142" s="5">
        <f t="shared" si="17"/>
        <v>82400</v>
      </c>
    </row>
    <row r="1143" spans="1:10" x14ac:dyDescent="0.25">
      <c r="A1143" s="6">
        <v>1152</v>
      </c>
      <c r="B1143" t="s">
        <v>2259</v>
      </c>
      <c r="C1143" t="s">
        <v>1000</v>
      </c>
      <c r="D1143" t="s">
        <v>184</v>
      </c>
      <c r="E1143" t="str">
        <f>VLOOKUP(D1143,'Tên SP'!B$2:C$1070,2,0)</f>
        <v>GEL DIỆT KHUẨN TAY ON1 60ML/CH80</v>
      </c>
      <c r="F1143" s="4">
        <v>22000</v>
      </c>
      <c r="G1143">
        <v>1</v>
      </c>
      <c r="H1143" s="4">
        <v>22000</v>
      </c>
      <c r="I1143" s="4">
        <v>-22000</v>
      </c>
      <c r="J1143" s="5">
        <f t="shared" si="17"/>
        <v>0</v>
      </c>
    </row>
    <row r="1144" spans="1:10" x14ac:dyDescent="0.25">
      <c r="A1144" s="6">
        <v>1153</v>
      </c>
      <c r="B1144" t="s">
        <v>2260</v>
      </c>
      <c r="C1144" t="s">
        <v>1001</v>
      </c>
      <c r="D1144" t="s">
        <v>102</v>
      </c>
      <c r="E1144" t="str">
        <f>VLOOKUP(D1144,'Tên SP'!B$2:C$1070,2,0)</f>
        <v>NƯỚC GIẶT LIX HƯƠNG NƯỚC HOA 3,5KG/T04 TÚI</v>
      </c>
      <c r="F1144" s="4">
        <v>88000</v>
      </c>
      <c r="G1144">
        <v>1</v>
      </c>
      <c r="H1144" s="4">
        <v>88000</v>
      </c>
      <c r="I1144" s="4">
        <v>-13201</v>
      </c>
      <c r="J1144" s="5">
        <f t="shared" si="17"/>
        <v>74799</v>
      </c>
    </row>
    <row r="1145" spans="1:10" x14ac:dyDescent="0.25">
      <c r="A1145" s="6">
        <v>1154</v>
      </c>
      <c r="B1145" t="s">
        <v>2260</v>
      </c>
      <c r="C1145" t="s">
        <v>1001</v>
      </c>
      <c r="D1145" t="s">
        <v>184</v>
      </c>
      <c r="E1145" t="str">
        <f>VLOOKUP(D1145,'Tên SP'!B$2:C$1070,2,0)</f>
        <v>GEL DIỆT KHUẨN TAY ON1 60ML/CH80</v>
      </c>
      <c r="F1145" s="4">
        <v>22000</v>
      </c>
      <c r="G1145">
        <v>1</v>
      </c>
      <c r="H1145" s="4">
        <v>22000</v>
      </c>
      <c r="I1145" s="4">
        <v>-22000</v>
      </c>
      <c r="J1145" s="5">
        <f t="shared" ref="J1145:J1208" si="18">H1145+I1145</f>
        <v>0</v>
      </c>
    </row>
    <row r="1146" spans="1:10" x14ac:dyDescent="0.25">
      <c r="A1146" s="6">
        <v>1155</v>
      </c>
      <c r="B1146" t="s">
        <v>2261</v>
      </c>
      <c r="C1146" t="s">
        <v>1002</v>
      </c>
      <c r="D1146" t="s">
        <v>38</v>
      </c>
      <c r="E1146" t="str">
        <f>VLOOKUP(D1146,'Tên SP'!B$2:C$1070,2,0)</f>
        <v>BỘT GIẶT LIXE HƯƠNG NƯỚC HOA 5,5KG/03</v>
      </c>
      <c r="F1146" s="4">
        <v>127600</v>
      </c>
      <c r="G1146">
        <v>1</v>
      </c>
      <c r="H1146" s="4">
        <v>127600</v>
      </c>
      <c r="I1146" s="4">
        <v>-15001</v>
      </c>
      <c r="J1146" s="5">
        <f t="shared" si="18"/>
        <v>112599</v>
      </c>
    </row>
    <row r="1147" spans="1:10" x14ac:dyDescent="0.25">
      <c r="A1147" s="6">
        <v>1156</v>
      </c>
      <c r="B1147" t="s">
        <v>2261</v>
      </c>
      <c r="C1147" t="s">
        <v>1002</v>
      </c>
      <c r="D1147" t="s">
        <v>184</v>
      </c>
      <c r="E1147" t="str">
        <f>VLOOKUP(D1147,'Tên SP'!B$2:C$1070,2,0)</f>
        <v>GEL DIỆT KHUẨN TAY ON1 60ML/CH80</v>
      </c>
      <c r="F1147" s="4">
        <v>22000</v>
      </c>
      <c r="G1147">
        <v>1</v>
      </c>
      <c r="H1147" s="4">
        <v>22000</v>
      </c>
      <c r="I1147" s="4">
        <v>-22000</v>
      </c>
      <c r="J1147" s="5">
        <f t="shared" si="18"/>
        <v>0</v>
      </c>
    </row>
    <row r="1148" spans="1:10" x14ac:dyDescent="0.25">
      <c r="A1148" s="6">
        <v>1157</v>
      </c>
      <c r="B1148" t="s">
        <v>2262</v>
      </c>
      <c r="C1148" t="s">
        <v>1003</v>
      </c>
      <c r="D1148" t="s">
        <v>28</v>
      </c>
      <c r="E1148" t="str">
        <f>VLOOKUP(D1148,'Tên SP'!B$2:C$1070,2,0)</f>
        <v>NƯỚC XẢ VẢI LIXSOFT HƯƠNG HOA HỒNG 3,6L/C04</v>
      </c>
      <c r="F1148" s="4">
        <v>81000</v>
      </c>
      <c r="G1148">
        <v>1</v>
      </c>
      <c r="H1148" s="4">
        <v>81000</v>
      </c>
      <c r="I1148" s="4">
        <v>-12151</v>
      </c>
      <c r="J1148" s="5">
        <f t="shared" si="18"/>
        <v>68849</v>
      </c>
    </row>
    <row r="1149" spans="1:10" x14ac:dyDescent="0.25">
      <c r="A1149" s="6">
        <v>1158</v>
      </c>
      <c r="B1149" t="s">
        <v>2262</v>
      </c>
      <c r="C1149" t="s">
        <v>1003</v>
      </c>
      <c r="D1149" t="s">
        <v>184</v>
      </c>
      <c r="E1149" t="str">
        <f>VLOOKUP(D1149,'Tên SP'!B$2:C$1070,2,0)</f>
        <v>GEL DIỆT KHUẨN TAY ON1 60ML/CH80</v>
      </c>
      <c r="F1149" s="4">
        <v>22000</v>
      </c>
      <c r="G1149">
        <v>1</v>
      </c>
      <c r="H1149" s="4">
        <v>22000</v>
      </c>
      <c r="I1149" s="4">
        <v>-22000</v>
      </c>
      <c r="J1149" s="5">
        <f t="shared" si="18"/>
        <v>0</v>
      </c>
    </row>
    <row r="1150" spans="1:10" x14ac:dyDescent="0.25">
      <c r="A1150" s="6">
        <v>1159</v>
      </c>
      <c r="B1150" t="s">
        <v>2263</v>
      </c>
      <c r="C1150" t="s">
        <v>1004</v>
      </c>
      <c r="D1150" t="s">
        <v>202</v>
      </c>
      <c r="E1150" t="str">
        <f>VLOOKUP(D1150,'Tên SP'!B$2:C$1070,2,0)</f>
        <v>TINH DẦU ON1 SẢ LAVENDER 100ML/CH12</v>
      </c>
      <c r="F1150" s="4">
        <v>68730</v>
      </c>
      <c r="G1150">
        <v>1</v>
      </c>
      <c r="H1150" s="4">
        <v>68730</v>
      </c>
      <c r="I1150" s="4">
        <v>-7501</v>
      </c>
      <c r="J1150" s="5">
        <f t="shared" si="18"/>
        <v>61229</v>
      </c>
    </row>
    <row r="1151" spans="1:10" x14ac:dyDescent="0.25">
      <c r="A1151" s="6">
        <v>1160</v>
      </c>
      <c r="B1151" t="s">
        <v>2263</v>
      </c>
      <c r="C1151" t="s">
        <v>1004</v>
      </c>
      <c r="D1151" t="s">
        <v>202</v>
      </c>
      <c r="E1151" t="str">
        <f>VLOOKUP(D1151,'Tên SP'!B$2:C$1070,2,0)</f>
        <v>TINH DẦU ON1 SẢ LAVENDER 100ML/CH12</v>
      </c>
      <c r="F1151" s="4">
        <v>68730</v>
      </c>
      <c r="G1151">
        <v>1</v>
      </c>
      <c r="H1151" s="4">
        <v>68730</v>
      </c>
      <c r="I1151" s="4">
        <v>-7500</v>
      </c>
      <c r="J1151" s="5">
        <f t="shared" si="18"/>
        <v>61230</v>
      </c>
    </row>
    <row r="1152" spans="1:10" x14ac:dyDescent="0.25">
      <c r="A1152" s="6">
        <v>1161</v>
      </c>
      <c r="B1152" t="s">
        <v>2263</v>
      </c>
      <c r="C1152" t="s">
        <v>1004</v>
      </c>
      <c r="D1152" t="s">
        <v>184</v>
      </c>
      <c r="E1152" t="str">
        <f>VLOOKUP(D1152,'Tên SP'!B$2:C$1070,2,0)</f>
        <v>GEL DIỆT KHUẨN TAY ON1 60ML/CH80</v>
      </c>
      <c r="F1152" s="4">
        <v>22000</v>
      </c>
      <c r="G1152">
        <v>1</v>
      </c>
      <c r="H1152" s="4">
        <v>22000</v>
      </c>
      <c r="I1152" s="4">
        <v>-22000</v>
      </c>
      <c r="J1152" s="5">
        <f t="shared" si="18"/>
        <v>0</v>
      </c>
    </row>
    <row r="1153" spans="1:10" x14ac:dyDescent="0.25">
      <c r="A1153" s="6">
        <v>1162</v>
      </c>
      <c r="B1153" t="s">
        <v>2264</v>
      </c>
      <c r="C1153" t="s">
        <v>1005</v>
      </c>
      <c r="D1153" t="s">
        <v>102</v>
      </c>
      <c r="E1153" t="str">
        <f>VLOOKUP(D1153,'Tên SP'!B$2:C$1070,2,0)</f>
        <v>NƯỚC GIẶT LIX HƯƠNG NƯỚC HOA 3,5KG/T04 TÚI</v>
      </c>
      <c r="F1153" s="4">
        <v>88000</v>
      </c>
      <c r="G1153">
        <v>1</v>
      </c>
      <c r="H1153" s="4">
        <v>88000</v>
      </c>
      <c r="I1153" s="4">
        <v>-1</v>
      </c>
      <c r="J1153" s="5">
        <f t="shared" si="18"/>
        <v>87999</v>
      </c>
    </row>
    <row r="1154" spans="1:10" x14ac:dyDescent="0.25">
      <c r="A1154" s="6">
        <v>1163</v>
      </c>
      <c r="B1154" t="s">
        <v>2264</v>
      </c>
      <c r="C1154" t="s">
        <v>1005</v>
      </c>
      <c r="D1154" t="s">
        <v>184</v>
      </c>
      <c r="E1154" t="str">
        <f>VLOOKUP(D1154,'Tên SP'!B$2:C$1070,2,0)</f>
        <v>GEL DIỆT KHUẨN TAY ON1 60ML/CH80</v>
      </c>
      <c r="F1154" s="4">
        <v>22000</v>
      </c>
      <c r="G1154">
        <v>1</v>
      </c>
      <c r="H1154" s="4">
        <v>22000</v>
      </c>
      <c r="I1154" s="4">
        <v>-22000</v>
      </c>
      <c r="J1154" s="5">
        <f t="shared" si="18"/>
        <v>0</v>
      </c>
    </row>
    <row r="1155" spans="1:10" x14ac:dyDescent="0.25">
      <c r="A1155" s="6">
        <v>1164</v>
      </c>
      <c r="B1155" t="s">
        <v>2264</v>
      </c>
      <c r="C1155" t="s">
        <v>1006</v>
      </c>
      <c r="D1155" t="s">
        <v>9</v>
      </c>
      <c r="E1155" t="str">
        <f>VLOOKUP(D1155,'Tên SP'!B$2:C$1070,2,0)</f>
        <v>NƯỚC GIẶT LIX ĐẬM ĐẶC 3,5KG/T04 TÚI</v>
      </c>
      <c r="F1155" s="4">
        <v>92400</v>
      </c>
      <c r="G1155">
        <v>1</v>
      </c>
      <c r="H1155" s="4">
        <v>92400</v>
      </c>
      <c r="I1155" s="4">
        <v>-1</v>
      </c>
      <c r="J1155" s="5">
        <f t="shared" si="18"/>
        <v>92399</v>
      </c>
    </row>
    <row r="1156" spans="1:10" x14ac:dyDescent="0.25">
      <c r="A1156" s="6">
        <v>1165</v>
      </c>
      <c r="B1156" t="s">
        <v>2264</v>
      </c>
      <c r="C1156" t="s">
        <v>1006</v>
      </c>
      <c r="D1156" t="s">
        <v>184</v>
      </c>
      <c r="E1156" t="str">
        <f>VLOOKUP(D1156,'Tên SP'!B$2:C$1070,2,0)</f>
        <v>GEL DIỆT KHUẨN TAY ON1 60ML/CH80</v>
      </c>
      <c r="F1156" s="4">
        <v>22000</v>
      </c>
      <c r="G1156">
        <v>1</v>
      </c>
      <c r="H1156" s="4">
        <v>22000</v>
      </c>
      <c r="I1156" s="4">
        <v>-22000</v>
      </c>
      <c r="J1156" s="5">
        <f t="shared" si="18"/>
        <v>0</v>
      </c>
    </row>
    <row r="1157" spans="1:10" x14ac:dyDescent="0.25">
      <c r="A1157" s="6">
        <v>1166</v>
      </c>
      <c r="B1157" t="s">
        <v>2265</v>
      </c>
      <c r="C1157" t="s">
        <v>1007</v>
      </c>
      <c r="D1157" t="s">
        <v>102</v>
      </c>
      <c r="E1157" t="str">
        <f>VLOOKUP(D1157,'Tên SP'!B$2:C$1070,2,0)</f>
        <v>NƯỚC GIẶT LIX HƯƠNG NƯỚC HOA 3,5KG/T04 TÚI</v>
      </c>
      <c r="F1157" s="4">
        <v>88000</v>
      </c>
      <c r="G1157">
        <v>1</v>
      </c>
      <c r="H1157" s="4">
        <v>88000</v>
      </c>
      <c r="I1157" s="4">
        <v>-1</v>
      </c>
      <c r="J1157" s="5">
        <f t="shared" si="18"/>
        <v>87999</v>
      </c>
    </row>
    <row r="1158" spans="1:10" x14ac:dyDescent="0.25">
      <c r="A1158" s="6">
        <v>1167</v>
      </c>
      <c r="B1158" t="s">
        <v>2265</v>
      </c>
      <c r="C1158" t="s">
        <v>1007</v>
      </c>
      <c r="D1158" t="s">
        <v>184</v>
      </c>
      <c r="E1158" t="str">
        <f>VLOOKUP(D1158,'Tên SP'!B$2:C$1070,2,0)</f>
        <v>GEL DIỆT KHUẨN TAY ON1 60ML/CH80</v>
      </c>
      <c r="F1158" s="4">
        <v>22000</v>
      </c>
      <c r="G1158">
        <v>1</v>
      </c>
      <c r="H1158" s="4">
        <v>22000</v>
      </c>
      <c r="I1158" s="4">
        <v>-22000</v>
      </c>
      <c r="J1158" s="5">
        <f t="shared" si="18"/>
        <v>0</v>
      </c>
    </row>
    <row r="1159" spans="1:10" x14ac:dyDescent="0.25">
      <c r="A1159" s="6">
        <v>1168</v>
      </c>
      <c r="B1159" t="s">
        <v>2266</v>
      </c>
      <c r="C1159" t="s">
        <v>1008</v>
      </c>
      <c r="D1159" t="s">
        <v>102</v>
      </c>
      <c r="E1159" t="str">
        <f>VLOOKUP(D1159,'Tên SP'!B$2:C$1070,2,0)</f>
        <v>NƯỚC GIẶT LIX HƯƠNG NƯỚC HOA 3,5KG/T04 TÚI</v>
      </c>
      <c r="F1159" s="4">
        <v>88000</v>
      </c>
      <c r="G1159">
        <v>1</v>
      </c>
      <c r="H1159" s="4">
        <v>88000</v>
      </c>
      <c r="I1159" s="4">
        <v>-13201</v>
      </c>
      <c r="J1159" s="5">
        <f t="shared" si="18"/>
        <v>74799</v>
      </c>
    </row>
    <row r="1160" spans="1:10" x14ac:dyDescent="0.25">
      <c r="A1160" s="6">
        <v>1169</v>
      </c>
      <c r="B1160" t="s">
        <v>2266</v>
      </c>
      <c r="C1160" t="s">
        <v>1008</v>
      </c>
      <c r="D1160" t="s">
        <v>184</v>
      </c>
      <c r="E1160" t="str">
        <f>VLOOKUP(D1160,'Tên SP'!B$2:C$1070,2,0)</f>
        <v>GEL DIỆT KHUẨN TAY ON1 60ML/CH80</v>
      </c>
      <c r="F1160" s="4">
        <v>22000</v>
      </c>
      <c r="G1160">
        <v>1</v>
      </c>
      <c r="H1160" s="4">
        <v>22000</v>
      </c>
      <c r="I1160" s="4">
        <v>-22000</v>
      </c>
      <c r="J1160" s="5">
        <f t="shared" si="18"/>
        <v>0</v>
      </c>
    </row>
    <row r="1161" spans="1:10" x14ac:dyDescent="0.25">
      <c r="A1161" s="6">
        <v>1170</v>
      </c>
      <c r="B1161" t="s">
        <v>2267</v>
      </c>
      <c r="C1161" t="s">
        <v>1009</v>
      </c>
      <c r="D1161" t="s">
        <v>9</v>
      </c>
      <c r="E1161" t="str">
        <f>VLOOKUP(D1161,'Tên SP'!B$2:C$1070,2,0)</f>
        <v>NƯỚC GIẶT LIX ĐẬM ĐẶC 3,5KG/T04 TÚI</v>
      </c>
      <c r="F1161" s="4">
        <v>92400</v>
      </c>
      <c r="G1161">
        <v>1</v>
      </c>
      <c r="H1161" s="4">
        <v>92400</v>
      </c>
      <c r="I1161" s="4">
        <v>-1</v>
      </c>
      <c r="J1161" s="5">
        <f t="shared" si="18"/>
        <v>92399</v>
      </c>
    </row>
    <row r="1162" spans="1:10" x14ac:dyDescent="0.25">
      <c r="A1162" s="6">
        <v>1171</v>
      </c>
      <c r="B1162" t="s">
        <v>2267</v>
      </c>
      <c r="C1162" t="s">
        <v>1009</v>
      </c>
      <c r="D1162" t="s">
        <v>184</v>
      </c>
      <c r="E1162" t="str">
        <f>VLOOKUP(D1162,'Tên SP'!B$2:C$1070,2,0)</f>
        <v>GEL DIỆT KHUẨN TAY ON1 60ML/CH80</v>
      </c>
      <c r="F1162" s="4">
        <v>22000</v>
      </c>
      <c r="G1162">
        <v>1</v>
      </c>
      <c r="H1162" s="4">
        <v>22000</v>
      </c>
      <c r="I1162" s="4">
        <v>-22000</v>
      </c>
      <c r="J1162" s="5">
        <f t="shared" si="18"/>
        <v>0</v>
      </c>
    </row>
    <row r="1163" spans="1:10" x14ac:dyDescent="0.25">
      <c r="A1163" s="6">
        <v>1172</v>
      </c>
      <c r="B1163" t="s">
        <v>2268</v>
      </c>
      <c r="C1163" t="s">
        <v>1010</v>
      </c>
      <c r="D1163" t="s">
        <v>23</v>
      </c>
      <c r="E1163" t="str">
        <f>VLOOKUP(D1163,'Tên SP'!B$2:C$1070,2,0)</f>
        <v>NƯỚC XẢ VẢI LIXSOFT 3,6L/C04</v>
      </c>
      <c r="F1163" s="4">
        <v>80224</v>
      </c>
      <c r="G1163">
        <v>1</v>
      </c>
      <c r="H1163" s="4">
        <v>80224</v>
      </c>
      <c r="I1163" s="4">
        <v>-1</v>
      </c>
      <c r="J1163" s="5">
        <f t="shared" si="18"/>
        <v>80223</v>
      </c>
    </row>
    <row r="1164" spans="1:10" x14ac:dyDescent="0.25">
      <c r="A1164" s="6">
        <v>1173</v>
      </c>
      <c r="B1164" t="s">
        <v>2268</v>
      </c>
      <c r="C1164" t="s">
        <v>1010</v>
      </c>
      <c r="D1164" t="s">
        <v>184</v>
      </c>
      <c r="E1164" t="str">
        <f>VLOOKUP(D1164,'Tên SP'!B$2:C$1070,2,0)</f>
        <v>GEL DIỆT KHUẨN TAY ON1 60ML/CH80</v>
      </c>
      <c r="F1164" s="4">
        <v>21800</v>
      </c>
      <c r="G1164">
        <v>1</v>
      </c>
      <c r="H1164" s="4">
        <v>21800</v>
      </c>
      <c r="I1164" s="4">
        <v>-21800</v>
      </c>
      <c r="J1164" s="5">
        <f t="shared" si="18"/>
        <v>0</v>
      </c>
    </row>
    <row r="1165" spans="1:10" x14ac:dyDescent="0.25">
      <c r="A1165" s="6">
        <v>1174</v>
      </c>
      <c r="B1165" t="s">
        <v>2269</v>
      </c>
      <c r="C1165" t="s">
        <v>1011</v>
      </c>
      <c r="D1165" t="s">
        <v>184</v>
      </c>
      <c r="E1165" t="str">
        <f>VLOOKUP(D1165,'Tên SP'!B$2:C$1070,2,0)</f>
        <v>GEL DIỆT KHUẨN TAY ON1 60ML/CH80</v>
      </c>
      <c r="F1165" s="4">
        <v>21800</v>
      </c>
      <c r="G1165">
        <v>1</v>
      </c>
      <c r="H1165" s="4">
        <v>21800</v>
      </c>
      <c r="I1165" s="4">
        <v>-21800</v>
      </c>
      <c r="J1165" s="5">
        <f t="shared" si="18"/>
        <v>0</v>
      </c>
    </row>
    <row r="1166" spans="1:10" x14ac:dyDescent="0.25">
      <c r="A1166" s="6">
        <v>1175</v>
      </c>
      <c r="B1166" t="s">
        <v>2269</v>
      </c>
      <c r="C1166" t="s">
        <v>1011</v>
      </c>
      <c r="D1166" t="s">
        <v>81</v>
      </c>
      <c r="E1166" t="str">
        <f>VLOOKUP(D1166,'Tên SP'!B$2:C$1070,2,0)</f>
        <v>NƯỚC RỬA CHÉN SIÊU SẠCH TRÀ 3,5KG/T04- TÚI</v>
      </c>
      <c r="F1166" s="4">
        <v>72000</v>
      </c>
      <c r="G1166">
        <v>1</v>
      </c>
      <c r="H1166" s="4">
        <v>72000</v>
      </c>
      <c r="I1166" s="4">
        <v>-3600</v>
      </c>
      <c r="J1166" s="5">
        <f t="shared" si="18"/>
        <v>68400</v>
      </c>
    </row>
    <row r="1167" spans="1:10" x14ac:dyDescent="0.25">
      <c r="A1167" s="6">
        <v>1176</v>
      </c>
      <c r="B1167" t="s">
        <v>2269</v>
      </c>
      <c r="C1167" t="s">
        <v>1011</v>
      </c>
      <c r="D1167" t="s">
        <v>92</v>
      </c>
      <c r="E1167" t="str">
        <f>VLOOKUP(D1167,'Tên SP'!B$2:C$1070,2,0)</f>
        <v>NƯỚC LAU SÀN LILY &amp; HOA HỒNG LIX 3.6L/C04</v>
      </c>
      <c r="F1167" s="4">
        <v>82400</v>
      </c>
      <c r="G1167">
        <v>1</v>
      </c>
      <c r="H1167" s="4">
        <v>82400</v>
      </c>
      <c r="I1167" s="4">
        <v>-4121</v>
      </c>
      <c r="J1167" s="5">
        <f t="shared" si="18"/>
        <v>78279</v>
      </c>
    </row>
    <row r="1168" spans="1:10" x14ac:dyDescent="0.25">
      <c r="A1168" s="6">
        <v>1177</v>
      </c>
      <c r="B1168" t="s">
        <v>2269</v>
      </c>
      <c r="C1168" t="s">
        <v>1011</v>
      </c>
      <c r="D1168" t="s">
        <v>9</v>
      </c>
      <c r="E1168" t="str">
        <f>VLOOKUP(D1168,'Tên SP'!B$2:C$1070,2,0)</f>
        <v>NƯỚC GIẶT LIX ĐẬM ĐẶC 3,5KG/T04 TÚI</v>
      </c>
      <c r="F1168" s="4">
        <v>91560</v>
      </c>
      <c r="G1168">
        <v>1</v>
      </c>
      <c r="H1168" s="4">
        <v>91560</v>
      </c>
      <c r="I1168" s="4">
        <v>-4578</v>
      </c>
      <c r="J1168" s="5">
        <f t="shared" si="18"/>
        <v>86982</v>
      </c>
    </row>
    <row r="1169" spans="1:10" x14ac:dyDescent="0.25">
      <c r="A1169" s="6">
        <v>1178</v>
      </c>
      <c r="B1169" t="s">
        <v>2269</v>
      </c>
      <c r="C1169" t="s">
        <v>1011</v>
      </c>
      <c r="D1169" t="s">
        <v>9</v>
      </c>
      <c r="E1169" t="str">
        <f>VLOOKUP(D1169,'Tên SP'!B$2:C$1070,2,0)</f>
        <v>NƯỚC GIẶT LIX ĐẬM ĐẶC 3,5KG/T04 TÚI</v>
      </c>
      <c r="F1169" s="4">
        <v>91560</v>
      </c>
      <c r="G1169">
        <v>1</v>
      </c>
      <c r="H1169" s="4">
        <v>91560</v>
      </c>
      <c r="I1169" s="4">
        <v>-4578</v>
      </c>
      <c r="J1169" s="5">
        <f t="shared" si="18"/>
        <v>86982</v>
      </c>
    </row>
    <row r="1170" spans="1:10" x14ac:dyDescent="0.25">
      <c r="A1170" s="6">
        <v>1179</v>
      </c>
      <c r="B1170" t="s">
        <v>2270</v>
      </c>
      <c r="C1170" t="s">
        <v>1012</v>
      </c>
      <c r="D1170" t="s">
        <v>77</v>
      </c>
      <c r="E1170" t="str">
        <f>VLOOKUP(D1170,'Tên SP'!B$2:C$1070,2,0)</f>
        <v>NƯỚC RỬA CHÉN SIÊU SẠCH CHANH 1,4KG/C08</v>
      </c>
      <c r="F1170" s="4">
        <v>39240</v>
      </c>
      <c r="G1170">
        <v>1</v>
      </c>
      <c r="H1170" s="4">
        <v>39240</v>
      </c>
      <c r="I1170" s="4">
        <v>-1962</v>
      </c>
      <c r="J1170" s="5">
        <f t="shared" si="18"/>
        <v>37278</v>
      </c>
    </row>
    <row r="1171" spans="1:10" x14ac:dyDescent="0.25">
      <c r="A1171" s="6">
        <v>1180</v>
      </c>
      <c r="B1171" t="s">
        <v>2270</v>
      </c>
      <c r="C1171" t="s">
        <v>1012</v>
      </c>
      <c r="D1171" t="s">
        <v>77</v>
      </c>
      <c r="E1171" t="str">
        <f>VLOOKUP(D1171,'Tên SP'!B$2:C$1070,2,0)</f>
        <v>NƯỚC RỬA CHÉN SIÊU SẠCH CHANH 1,4KG/C08</v>
      </c>
      <c r="F1171" s="4">
        <v>39240</v>
      </c>
      <c r="G1171">
        <v>1</v>
      </c>
      <c r="H1171" s="4">
        <v>39240</v>
      </c>
      <c r="I1171" s="4">
        <v>-1962</v>
      </c>
      <c r="J1171" s="5">
        <f t="shared" si="18"/>
        <v>37278</v>
      </c>
    </row>
    <row r="1172" spans="1:10" x14ac:dyDescent="0.25">
      <c r="A1172" s="6">
        <v>1181</v>
      </c>
      <c r="B1172" t="s">
        <v>2270</v>
      </c>
      <c r="C1172" t="s">
        <v>1012</v>
      </c>
      <c r="D1172" t="s">
        <v>77</v>
      </c>
      <c r="E1172" t="str">
        <f>VLOOKUP(D1172,'Tên SP'!B$2:C$1070,2,0)</f>
        <v>NƯỚC RỬA CHÉN SIÊU SẠCH CHANH 1,4KG/C08</v>
      </c>
      <c r="F1172" s="4">
        <v>39240</v>
      </c>
      <c r="G1172">
        <v>1</v>
      </c>
      <c r="H1172" s="4">
        <v>39240</v>
      </c>
      <c r="I1172" s="4">
        <v>-1962</v>
      </c>
      <c r="J1172" s="5">
        <f t="shared" si="18"/>
        <v>37278</v>
      </c>
    </row>
    <row r="1173" spans="1:10" x14ac:dyDescent="0.25">
      <c r="A1173" s="6">
        <v>1182</v>
      </c>
      <c r="B1173" t="s">
        <v>2270</v>
      </c>
      <c r="C1173" t="s">
        <v>1012</v>
      </c>
      <c r="D1173" t="s">
        <v>77</v>
      </c>
      <c r="E1173" t="str">
        <f>VLOOKUP(D1173,'Tên SP'!B$2:C$1070,2,0)</f>
        <v>NƯỚC RỬA CHÉN SIÊU SẠCH CHANH 1,4KG/C08</v>
      </c>
      <c r="F1173" s="4">
        <v>39240</v>
      </c>
      <c r="G1173">
        <v>1</v>
      </c>
      <c r="H1173" s="4">
        <v>39240</v>
      </c>
      <c r="I1173" s="4">
        <v>-1963</v>
      </c>
      <c r="J1173" s="5">
        <f t="shared" si="18"/>
        <v>37277</v>
      </c>
    </row>
    <row r="1174" spans="1:10" x14ac:dyDescent="0.25">
      <c r="A1174" s="6">
        <v>1183</v>
      </c>
      <c r="B1174" t="s">
        <v>2270</v>
      </c>
      <c r="C1174" t="s">
        <v>1012</v>
      </c>
      <c r="D1174" t="s">
        <v>77</v>
      </c>
      <c r="E1174" t="str">
        <f>VLOOKUP(D1174,'Tên SP'!B$2:C$1070,2,0)</f>
        <v>NƯỚC RỬA CHÉN SIÊU SẠCH CHANH 1,4KG/C08</v>
      </c>
      <c r="F1174" s="4">
        <v>39240</v>
      </c>
      <c r="G1174">
        <v>1</v>
      </c>
      <c r="H1174" s="4">
        <v>39240</v>
      </c>
      <c r="I1174" s="4">
        <v>-1962</v>
      </c>
      <c r="J1174" s="5">
        <f t="shared" si="18"/>
        <v>37278</v>
      </c>
    </row>
    <row r="1175" spans="1:10" x14ac:dyDescent="0.25">
      <c r="A1175" s="6">
        <v>1184</v>
      </c>
      <c r="B1175" t="s">
        <v>2270</v>
      </c>
      <c r="C1175" t="s">
        <v>1012</v>
      </c>
      <c r="D1175" t="s">
        <v>9</v>
      </c>
      <c r="E1175" t="str">
        <f>VLOOKUP(D1175,'Tên SP'!B$2:C$1070,2,0)</f>
        <v>NƯỚC GIẶT LIX ĐẬM ĐẶC 3,5KG/T04 TÚI</v>
      </c>
      <c r="F1175" s="4">
        <v>91560</v>
      </c>
      <c r="G1175">
        <v>1</v>
      </c>
      <c r="H1175" s="4">
        <v>91560</v>
      </c>
      <c r="I1175" s="4">
        <v>-4578</v>
      </c>
      <c r="J1175" s="5">
        <f t="shared" si="18"/>
        <v>86982</v>
      </c>
    </row>
    <row r="1176" spans="1:10" x14ac:dyDescent="0.25">
      <c r="A1176" s="6">
        <v>1185</v>
      </c>
      <c r="B1176" t="s">
        <v>2270</v>
      </c>
      <c r="C1176" t="s">
        <v>1012</v>
      </c>
      <c r="D1176" t="s">
        <v>9</v>
      </c>
      <c r="E1176" t="str">
        <f>VLOOKUP(D1176,'Tên SP'!B$2:C$1070,2,0)</f>
        <v>NƯỚC GIẶT LIX ĐẬM ĐẶC 3,5KG/T04 TÚI</v>
      </c>
      <c r="F1176" s="4">
        <v>91560</v>
      </c>
      <c r="G1176">
        <v>1</v>
      </c>
      <c r="H1176" s="4">
        <v>91560</v>
      </c>
      <c r="I1176" s="4">
        <v>-4578</v>
      </c>
      <c r="J1176" s="5">
        <f t="shared" si="18"/>
        <v>86982</v>
      </c>
    </row>
    <row r="1177" spans="1:10" x14ac:dyDescent="0.25">
      <c r="A1177" s="6">
        <v>1186</v>
      </c>
      <c r="B1177" t="s">
        <v>2270</v>
      </c>
      <c r="C1177" t="s">
        <v>1012</v>
      </c>
      <c r="D1177" t="s">
        <v>9</v>
      </c>
      <c r="E1177" t="str">
        <f>VLOOKUP(D1177,'Tên SP'!B$2:C$1070,2,0)</f>
        <v>NƯỚC GIẶT LIX ĐẬM ĐẶC 3,5KG/T04 TÚI</v>
      </c>
      <c r="F1177" s="4">
        <v>91560</v>
      </c>
      <c r="G1177">
        <v>1</v>
      </c>
      <c r="H1177" s="4">
        <v>91560</v>
      </c>
      <c r="I1177" s="4">
        <v>-4578</v>
      </c>
      <c r="J1177" s="5">
        <f t="shared" si="18"/>
        <v>86982</v>
      </c>
    </row>
    <row r="1178" spans="1:10" x14ac:dyDescent="0.25">
      <c r="A1178" s="6">
        <v>1187</v>
      </c>
      <c r="B1178" t="s">
        <v>2270</v>
      </c>
      <c r="C1178" t="s">
        <v>1012</v>
      </c>
      <c r="D1178" t="s">
        <v>9</v>
      </c>
      <c r="E1178" t="str">
        <f>VLOOKUP(D1178,'Tên SP'!B$2:C$1070,2,0)</f>
        <v>NƯỚC GIẶT LIX ĐẬM ĐẶC 3,5KG/T04 TÚI</v>
      </c>
      <c r="F1178" s="4">
        <v>91560</v>
      </c>
      <c r="G1178">
        <v>1</v>
      </c>
      <c r="H1178" s="4">
        <v>91560</v>
      </c>
      <c r="I1178" s="4">
        <v>-4578</v>
      </c>
      <c r="J1178" s="5">
        <f t="shared" si="18"/>
        <v>86982</v>
      </c>
    </row>
    <row r="1179" spans="1:10" x14ac:dyDescent="0.25">
      <c r="A1179" s="6">
        <v>1188</v>
      </c>
      <c r="B1179" t="s">
        <v>2270</v>
      </c>
      <c r="C1179" t="s">
        <v>1012</v>
      </c>
      <c r="D1179" t="s">
        <v>184</v>
      </c>
      <c r="E1179" t="str">
        <f>VLOOKUP(D1179,'Tên SP'!B$2:C$1070,2,0)</f>
        <v>GEL DIỆT KHUẨN TAY ON1 60ML/CH80</v>
      </c>
      <c r="F1179" s="4">
        <v>21800</v>
      </c>
      <c r="G1179">
        <v>1</v>
      </c>
      <c r="H1179" s="4">
        <v>21800</v>
      </c>
      <c r="I1179" s="4">
        <v>-21800</v>
      </c>
      <c r="J1179" s="5">
        <f t="shared" si="18"/>
        <v>0</v>
      </c>
    </row>
    <row r="1180" spans="1:10" x14ac:dyDescent="0.25">
      <c r="A1180" s="6">
        <v>1189</v>
      </c>
      <c r="B1180" t="s">
        <v>2271</v>
      </c>
      <c r="C1180" t="s">
        <v>1013</v>
      </c>
      <c r="D1180" t="s">
        <v>102</v>
      </c>
      <c r="E1180" t="str">
        <f>VLOOKUP(D1180,'Tên SP'!B$2:C$1070,2,0)</f>
        <v>NƯỚC GIẶT LIX HƯƠNG NƯỚC HOA 3,5KG/T04 TÚI</v>
      </c>
      <c r="F1180" s="4">
        <v>88000</v>
      </c>
      <c r="G1180">
        <v>1</v>
      </c>
      <c r="H1180" s="4">
        <v>88000</v>
      </c>
      <c r="I1180" s="4">
        <v>-1</v>
      </c>
      <c r="J1180" s="5">
        <f t="shared" si="18"/>
        <v>87999</v>
      </c>
    </row>
    <row r="1181" spans="1:10" x14ac:dyDescent="0.25">
      <c r="A1181" s="6">
        <v>1190</v>
      </c>
      <c r="B1181" t="s">
        <v>2271</v>
      </c>
      <c r="C1181" t="s">
        <v>1013</v>
      </c>
      <c r="D1181" t="s">
        <v>184</v>
      </c>
      <c r="E1181" t="str">
        <f>VLOOKUP(D1181,'Tên SP'!B$2:C$1070,2,0)</f>
        <v>GEL DIỆT KHUẨN TAY ON1 60ML/CH80</v>
      </c>
      <c r="F1181" s="4">
        <v>21800</v>
      </c>
      <c r="G1181">
        <v>1</v>
      </c>
      <c r="H1181" s="4">
        <v>21800</v>
      </c>
      <c r="I1181" s="4">
        <v>-21800</v>
      </c>
      <c r="J1181" s="5">
        <f t="shared" si="18"/>
        <v>0</v>
      </c>
    </row>
    <row r="1182" spans="1:10" x14ac:dyDescent="0.25">
      <c r="A1182" s="6">
        <v>1191</v>
      </c>
      <c r="B1182" t="s">
        <v>2272</v>
      </c>
      <c r="C1182" t="s">
        <v>1014</v>
      </c>
      <c r="D1182" t="s">
        <v>9</v>
      </c>
      <c r="E1182" t="str">
        <f>VLOOKUP(D1182,'Tên SP'!B$2:C$1070,2,0)</f>
        <v>NƯỚC GIẶT LIX ĐẬM ĐẶC 3,5KG/T04 TÚI</v>
      </c>
      <c r="F1182" s="4">
        <v>91560</v>
      </c>
      <c r="G1182">
        <v>1</v>
      </c>
      <c r="H1182" s="4">
        <v>91560</v>
      </c>
      <c r="I1182" s="4">
        <v>-4579</v>
      </c>
      <c r="J1182" s="5">
        <f t="shared" si="18"/>
        <v>86981</v>
      </c>
    </row>
    <row r="1183" spans="1:10" x14ac:dyDescent="0.25">
      <c r="A1183" s="6">
        <v>1192</v>
      </c>
      <c r="B1183" t="s">
        <v>2272</v>
      </c>
      <c r="C1183" t="s">
        <v>1014</v>
      </c>
      <c r="D1183" t="s">
        <v>9</v>
      </c>
      <c r="E1183" t="str">
        <f>VLOOKUP(D1183,'Tên SP'!B$2:C$1070,2,0)</f>
        <v>NƯỚC GIẶT LIX ĐẬM ĐẶC 3,5KG/T04 TÚI</v>
      </c>
      <c r="F1183" s="4">
        <v>91560</v>
      </c>
      <c r="G1183">
        <v>1</v>
      </c>
      <c r="H1183" s="4">
        <v>91560</v>
      </c>
      <c r="I1183" s="4">
        <v>-4578</v>
      </c>
      <c r="J1183" s="5">
        <f t="shared" si="18"/>
        <v>86982</v>
      </c>
    </row>
    <row r="1184" spans="1:10" x14ac:dyDescent="0.25">
      <c r="A1184" s="6">
        <v>1193</v>
      </c>
      <c r="B1184" t="s">
        <v>2272</v>
      </c>
      <c r="C1184" t="s">
        <v>1014</v>
      </c>
      <c r="D1184" t="s">
        <v>184</v>
      </c>
      <c r="E1184" t="str">
        <f>VLOOKUP(D1184,'Tên SP'!B$2:C$1070,2,0)</f>
        <v>GEL DIỆT KHUẨN TAY ON1 60ML/CH80</v>
      </c>
      <c r="F1184" s="4">
        <v>21800</v>
      </c>
      <c r="G1184">
        <v>1</v>
      </c>
      <c r="H1184" s="4">
        <v>21800</v>
      </c>
      <c r="I1184" s="4">
        <v>-21800</v>
      </c>
      <c r="J1184" s="5">
        <f t="shared" si="18"/>
        <v>0</v>
      </c>
    </row>
    <row r="1185" spans="1:10" x14ac:dyDescent="0.25">
      <c r="A1185" s="6">
        <v>1194</v>
      </c>
      <c r="B1185" t="s">
        <v>2273</v>
      </c>
      <c r="C1185" t="s">
        <v>1015</v>
      </c>
      <c r="D1185" t="s">
        <v>9</v>
      </c>
      <c r="E1185" t="str">
        <f>VLOOKUP(D1185,'Tên SP'!B$2:C$1070,2,0)</f>
        <v>NƯỚC GIẶT LIX ĐẬM ĐẶC 3,5KG/T04 TÚI</v>
      </c>
      <c r="F1185" s="4">
        <v>91560</v>
      </c>
      <c r="G1185">
        <v>1</v>
      </c>
      <c r="H1185" s="4">
        <v>91560</v>
      </c>
      <c r="I1185" s="4">
        <v>-13735</v>
      </c>
      <c r="J1185" s="5">
        <f t="shared" si="18"/>
        <v>77825</v>
      </c>
    </row>
    <row r="1186" spans="1:10" x14ac:dyDescent="0.25">
      <c r="A1186" s="6">
        <v>1195</v>
      </c>
      <c r="B1186" t="s">
        <v>2273</v>
      </c>
      <c r="C1186" t="s">
        <v>1015</v>
      </c>
      <c r="D1186" t="s">
        <v>184</v>
      </c>
      <c r="E1186" t="str">
        <f>VLOOKUP(D1186,'Tên SP'!B$2:C$1070,2,0)</f>
        <v>GEL DIỆT KHUẨN TAY ON1 60ML/CH80</v>
      </c>
      <c r="F1186" s="4">
        <v>21800</v>
      </c>
      <c r="G1186">
        <v>1</v>
      </c>
      <c r="H1186" s="4">
        <v>21800</v>
      </c>
      <c r="I1186" s="4">
        <v>-21800</v>
      </c>
      <c r="J1186" s="5">
        <f t="shared" si="18"/>
        <v>0</v>
      </c>
    </row>
    <row r="1187" spans="1:10" x14ac:dyDescent="0.25">
      <c r="A1187" s="6">
        <v>1196</v>
      </c>
      <c r="B1187" t="s">
        <v>2274</v>
      </c>
      <c r="C1187" t="s">
        <v>1016</v>
      </c>
      <c r="D1187" t="s">
        <v>106</v>
      </c>
      <c r="E1187" t="str">
        <f>VLOOKUP(D1187,'Tên SP'!B$2:C$1070,2,0)</f>
        <v>NƯỚC GIẶT LIX SIÊU SẠCH HOA ANH ĐÀO 2.4KG/T06</v>
      </c>
      <c r="F1187" s="4">
        <v>60168</v>
      </c>
      <c r="G1187">
        <v>1</v>
      </c>
      <c r="H1187" s="4">
        <v>60168</v>
      </c>
      <c r="I1187" s="4">
        <v>-1</v>
      </c>
      <c r="J1187" s="5">
        <f t="shared" si="18"/>
        <v>60167</v>
      </c>
    </row>
    <row r="1188" spans="1:10" x14ac:dyDescent="0.25">
      <c r="A1188" s="6">
        <v>1197</v>
      </c>
      <c r="B1188" t="s">
        <v>2274</v>
      </c>
      <c r="C1188" t="s">
        <v>1016</v>
      </c>
      <c r="D1188" t="s">
        <v>184</v>
      </c>
      <c r="E1188" t="str">
        <f>VLOOKUP(D1188,'Tên SP'!B$2:C$1070,2,0)</f>
        <v>GEL DIỆT KHUẨN TAY ON1 60ML/CH80</v>
      </c>
      <c r="F1188" s="4">
        <v>21800</v>
      </c>
      <c r="G1188">
        <v>1</v>
      </c>
      <c r="H1188" s="4">
        <v>21800</v>
      </c>
      <c r="I1188" s="4">
        <v>-21800</v>
      </c>
      <c r="J1188" s="5">
        <f t="shared" si="18"/>
        <v>0</v>
      </c>
    </row>
    <row r="1189" spans="1:10" x14ac:dyDescent="0.25">
      <c r="A1189" s="6">
        <v>1198</v>
      </c>
      <c r="B1189" t="s">
        <v>2275</v>
      </c>
      <c r="C1189" t="s">
        <v>1017</v>
      </c>
      <c r="D1189" t="s">
        <v>28</v>
      </c>
      <c r="E1189" t="str">
        <f>VLOOKUP(D1189,'Tên SP'!B$2:C$1070,2,0)</f>
        <v>NƯỚC XẢ VẢI LIXSOFT HƯƠNG HOA HỒNG 3,6L/C04</v>
      </c>
      <c r="F1189" s="4">
        <v>80224</v>
      </c>
      <c r="G1189">
        <v>1</v>
      </c>
      <c r="H1189" s="4">
        <v>80224</v>
      </c>
      <c r="I1189" s="4">
        <v>-12035</v>
      </c>
      <c r="J1189" s="5">
        <f t="shared" si="18"/>
        <v>68189</v>
      </c>
    </row>
    <row r="1190" spans="1:10" x14ac:dyDescent="0.25">
      <c r="A1190" s="6">
        <v>1199</v>
      </c>
      <c r="B1190" t="s">
        <v>2275</v>
      </c>
      <c r="C1190" t="s">
        <v>1017</v>
      </c>
      <c r="D1190" t="s">
        <v>184</v>
      </c>
      <c r="E1190" t="str">
        <f>VLOOKUP(D1190,'Tên SP'!B$2:C$1070,2,0)</f>
        <v>GEL DIỆT KHUẨN TAY ON1 60ML/CH80</v>
      </c>
      <c r="F1190" s="4">
        <v>21800</v>
      </c>
      <c r="G1190">
        <v>1</v>
      </c>
      <c r="H1190" s="4">
        <v>21800</v>
      </c>
      <c r="I1190" s="4">
        <v>-21800</v>
      </c>
      <c r="J1190" s="5">
        <f t="shared" si="18"/>
        <v>0</v>
      </c>
    </row>
    <row r="1191" spans="1:10" x14ac:dyDescent="0.25">
      <c r="A1191" s="6">
        <v>1200</v>
      </c>
      <c r="B1191" t="s">
        <v>2276</v>
      </c>
      <c r="C1191" t="s">
        <v>1018</v>
      </c>
      <c r="D1191" t="s">
        <v>9</v>
      </c>
      <c r="E1191" t="str">
        <f>VLOOKUP(D1191,'Tên SP'!B$2:C$1070,2,0)</f>
        <v>NƯỚC GIẶT LIX ĐẬM ĐẶC 3,5KG/T04 TÚI</v>
      </c>
      <c r="F1191" s="4">
        <v>91560</v>
      </c>
      <c r="G1191">
        <v>1</v>
      </c>
      <c r="H1191" s="4">
        <v>91560</v>
      </c>
      <c r="I1191" s="4">
        <v>-7501</v>
      </c>
      <c r="J1191" s="5">
        <f t="shared" si="18"/>
        <v>84059</v>
      </c>
    </row>
    <row r="1192" spans="1:10" x14ac:dyDescent="0.25">
      <c r="A1192" s="6">
        <v>1201</v>
      </c>
      <c r="B1192" t="s">
        <v>2276</v>
      </c>
      <c r="C1192" t="s">
        <v>1018</v>
      </c>
      <c r="D1192" t="s">
        <v>9</v>
      </c>
      <c r="E1192" t="str">
        <f>VLOOKUP(D1192,'Tên SP'!B$2:C$1070,2,0)</f>
        <v>NƯỚC GIẶT LIX ĐẬM ĐẶC 3,5KG/T04 TÚI</v>
      </c>
      <c r="F1192" s="4">
        <v>91560</v>
      </c>
      <c r="G1192">
        <v>1</v>
      </c>
      <c r="H1192" s="4">
        <v>91560</v>
      </c>
      <c r="I1192" s="4">
        <v>-7500</v>
      </c>
      <c r="J1192" s="5">
        <f t="shared" si="18"/>
        <v>84060</v>
      </c>
    </row>
    <row r="1193" spans="1:10" x14ac:dyDescent="0.25">
      <c r="A1193" s="6">
        <v>1202</v>
      </c>
      <c r="B1193" t="s">
        <v>2276</v>
      </c>
      <c r="C1193" t="s">
        <v>1018</v>
      </c>
      <c r="D1193" t="s">
        <v>184</v>
      </c>
      <c r="E1193" t="str">
        <f>VLOOKUP(D1193,'Tên SP'!B$2:C$1070,2,0)</f>
        <v>GEL DIỆT KHUẨN TAY ON1 60ML/CH80</v>
      </c>
      <c r="F1193" s="4">
        <v>21800</v>
      </c>
      <c r="G1193">
        <v>1</v>
      </c>
      <c r="H1193" s="4">
        <v>21800</v>
      </c>
      <c r="I1193" s="4">
        <v>-21800</v>
      </c>
      <c r="J1193" s="5">
        <f t="shared" si="18"/>
        <v>0</v>
      </c>
    </row>
    <row r="1194" spans="1:10" x14ac:dyDescent="0.25">
      <c r="A1194" s="6">
        <v>1203</v>
      </c>
      <c r="B1194" t="s">
        <v>2276</v>
      </c>
      <c r="C1194" t="s">
        <v>1019</v>
      </c>
      <c r="D1194" t="s">
        <v>28</v>
      </c>
      <c r="E1194" t="str">
        <f>VLOOKUP(D1194,'Tên SP'!B$2:C$1070,2,0)</f>
        <v>NƯỚC XẢ VẢI LIXSOFT HƯƠNG HOA HỒNG 3,6L/C04</v>
      </c>
      <c r="F1194" s="4">
        <v>80224</v>
      </c>
      <c r="G1194">
        <v>1</v>
      </c>
      <c r="H1194" s="4">
        <v>80224</v>
      </c>
      <c r="I1194" s="4">
        <v>-1</v>
      </c>
      <c r="J1194" s="5">
        <f t="shared" si="18"/>
        <v>80223</v>
      </c>
    </row>
    <row r="1195" spans="1:10" x14ac:dyDescent="0.25">
      <c r="A1195" s="6">
        <v>1204</v>
      </c>
      <c r="B1195" t="s">
        <v>2276</v>
      </c>
      <c r="C1195" t="s">
        <v>1019</v>
      </c>
      <c r="D1195" t="s">
        <v>184</v>
      </c>
      <c r="E1195" t="str">
        <f>VLOOKUP(D1195,'Tên SP'!B$2:C$1070,2,0)</f>
        <v>GEL DIỆT KHUẨN TAY ON1 60ML/CH80</v>
      </c>
      <c r="F1195" s="4">
        <v>21800</v>
      </c>
      <c r="G1195">
        <v>1</v>
      </c>
      <c r="H1195" s="4">
        <v>21800</v>
      </c>
      <c r="I1195" s="4">
        <v>-21800</v>
      </c>
      <c r="J1195" s="5">
        <f t="shared" si="18"/>
        <v>0</v>
      </c>
    </row>
    <row r="1196" spans="1:10" x14ac:dyDescent="0.25">
      <c r="A1196" s="6">
        <v>1205</v>
      </c>
      <c r="B1196" t="s">
        <v>2277</v>
      </c>
      <c r="C1196" t="s">
        <v>1020</v>
      </c>
      <c r="D1196" t="s">
        <v>102</v>
      </c>
      <c r="E1196" t="str">
        <f>VLOOKUP(D1196,'Tên SP'!B$2:C$1070,2,0)</f>
        <v>NƯỚC GIẶT LIX HƯƠNG NƯỚC HOA 3,5KG/T04 TÚI</v>
      </c>
      <c r="F1196" s="4">
        <v>88000</v>
      </c>
      <c r="G1196">
        <v>1</v>
      </c>
      <c r="H1196" s="4">
        <v>88000</v>
      </c>
      <c r="I1196" s="4">
        <v>-1</v>
      </c>
      <c r="J1196" s="5">
        <f t="shared" si="18"/>
        <v>87999</v>
      </c>
    </row>
    <row r="1197" spans="1:10" x14ac:dyDescent="0.25">
      <c r="A1197" s="6">
        <v>1206</v>
      </c>
      <c r="B1197" t="s">
        <v>2277</v>
      </c>
      <c r="C1197" t="s">
        <v>1020</v>
      </c>
      <c r="D1197" t="s">
        <v>184</v>
      </c>
      <c r="E1197" t="str">
        <f>VLOOKUP(D1197,'Tên SP'!B$2:C$1070,2,0)</f>
        <v>GEL DIỆT KHUẨN TAY ON1 60ML/CH80</v>
      </c>
      <c r="F1197" s="4">
        <v>21800</v>
      </c>
      <c r="G1197">
        <v>1</v>
      </c>
      <c r="H1197" s="4">
        <v>21800</v>
      </c>
      <c r="I1197" s="4">
        <v>-21800</v>
      </c>
      <c r="J1197" s="5">
        <f t="shared" si="18"/>
        <v>0</v>
      </c>
    </row>
    <row r="1198" spans="1:10" x14ac:dyDescent="0.25">
      <c r="A1198" s="6">
        <v>1207</v>
      </c>
      <c r="B1198" t="s">
        <v>2278</v>
      </c>
      <c r="C1198" t="s">
        <v>1021</v>
      </c>
      <c r="D1198" t="s">
        <v>56</v>
      </c>
      <c r="E1198" t="str">
        <f>VLOOKUP(D1198,'Tên SP'!B$2:C$1070,2,0)</f>
        <v>BỘT GIẶT LIX ĐẬM ĐẶC 400G/24</v>
      </c>
      <c r="F1198" s="4">
        <v>16000</v>
      </c>
      <c r="G1198">
        <v>1</v>
      </c>
      <c r="H1198" s="4">
        <v>16000</v>
      </c>
      <c r="I1198" s="4">
        <v>-13538</v>
      </c>
      <c r="J1198" s="5">
        <f t="shared" si="18"/>
        <v>2462</v>
      </c>
    </row>
    <row r="1199" spans="1:10" x14ac:dyDescent="0.25">
      <c r="A1199" s="6">
        <v>1208</v>
      </c>
      <c r="B1199" t="s">
        <v>2278</v>
      </c>
      <c r="C1199" t="s">
        <v>1021</v>
      </c>
      <c r="D1199" t="s">
        <v>102</v>
      </c>
      <c r="E1199" t="str">
        <f>VLOOKUP(D1199,'Tên SP'!B$2:C$1070,2,0)</f>
        <v>NƯỚC GIẶT LIX HƯƠNG NƯỚC HOA 3,5KG/T04 TÚI</v>
      </c>
      <c r="F1199" s="4">
        <v>88000</v>
      </c>
      <c r="G1199">
        <v>1</v>
      </c>
      <c r="H1199" s="4">
        <v>88000</v>
      </c>
      <c r="I1199" s="4">
        <v>-74463</v>
      </c>
      <c r="J1199" s="5">
        <f t="shared" si="18"/>
        <v>13537</v>
      </c>
    </row>
    <row r="1200" spans="1:10" x14ac:dyDescent="0.25">
      <c r="A1200" s="6">
        <v>1209</v>
      </c>
      <c r="B1200" t="s">
        <v>2278</v>
      </c>
      <c r="C1200" t="s">
        <v>1021</v>
      </c>
      <c r="D1200" t="s">
        <v>184</v>
      </c>
      <c r="E1200" t="str">
        <f>VLOOKUP(D1200,'Tên SP'!B$2:C$1070,2,0)</f>
        <v>GEL DIỆT KHUẨN TAY ON1 60ML/CH80</v>
      </c>
      <c r="F1200" s="4">
        <v>21800</v>
      </c>
      <c r="G1200">
        <v>1</v>
      </c>
      <c r="H1200" s="4">
        <v>21800</v>
      </c>
      <c r="I1200" s="4">
        <v>-21800</v>
      </c>
      <c r="J1200" s="5">
        <f t="shared" si="18"/>
        <v>0</v>
      </c>
    </row>
    <row r="1201" spans="1:10" x14ac:dyDescent="0.25">
      <c r="A1201" s="6">
        <v>1210</v>
      </c>
      <c r="B1201" t="s">
        <v>2279</v>
      </c>
      <c r="C1201" t="s">
        <v>1022</v>
      </c>
      <c r="D1201" t="s">
        <v>102</v>
      </c>
      <c r="E1201" t="str">
        <f>VLOOKUP(D1201,'Tên SP'!B$2:C$1070,2,0)</f>
        <v>NƯỚC GIẶT LIX HƯƠNG NƯỚC HOA 3,5KG/T04 TÚI</v>
      </c>
      <c r="F1201" s="4">
        <v>88000</v>
      </c>
      <c r="G1201">
        <v>1</v>
      </c>
      <c r="H1201" s="4">
        <v>88000</v>
      </c>
      <c r="I1201" s="4">
        <v>-11169</v>
      </c>
      <c r="J1201" s="5">
        <f t="shared" si="18"/>
        <v>76831</v>
      </c>
    </row>
    <row r="1202" spans="1:10" x14ac:dyDescent="0.25">
      <c r="A1202" s="6">
        <v>1211</v>
      </c>
      <c r="B1202" t="s">
        <v>2279</v>
      </c>
      <c r="C1202" t="s">
        <v>1022</v>
      </c>
      <c r="D1202" t="s">
        <v>22</v>
      </c>
      <c r="E1202" t="str">
        <f>VLOOKUP(D1202,'Tên SP'!B$2:C$1070,2,0)</f>
        <v>NƯỚC TẨY JAVEL LIX 1KG/CH12</v>
      </c>
      <c r="F1202" s="4">
        <v>30200</v>
      </c>
      <c r="G1202">
        <v>1</v>
      </c>
      <c r="H1202" s="4">
        <v>30200</v>
      </c>
      <c r="I1202" s="4">
        <v>-3832</v>
      </c>
      <c r="J1202" s="5">
        <f t="shared" si="18"/>
        <v>26368</v>
      </c>
    </row>
    <row r="1203" spans="1:10" x14ac:dyDescent="0.25">
      <c r="A1203" s="6">
        <v>1212</v>
      </c>
      <c r="B1203" t="s">
        <v>2279</v>
      </c>
      <c r="C1203" t="s">
        <v>1022</v>
      </c>
      <c r="D1203" t="s">
        <v>184</v>
      </c>
      <c r="E1203" t="str">
        <f>VLOOKUP(D1203,'Tên SP'!B$2:C$1070,2,0)</f>
        <v>GEL DIỆT KHUẨN TAY ON1 60ML/CH80</v>
      </c>
      <c r="F1203" s="4">
        <v>21800</v>
      </c>
      <c r="G1203">
        <v>1</v>
      </c>
      <c r="H1203" s="4">
        <v>21800</v>
      </c>
      <c r="I1203" s="4">
        <v>-21800</v>
      </c>
      <c r="J1203" s="5">
        <f t="shared" si="18"/>
        <v>0</v>
      </c>
    </row>
    <row r="1204" spans="1:10" x14ac:dyDescent="0.25">
      <c r="A1204" s="6">
        <v>1213</v>
      </c>
      <c r="B1204" t="s">
        <v>2280</v>
      </c>
      <c r="C1204" t="s">
        <v>1023</v>
      </c>
      <c r="D1204" t="s">
        <v>23</v>
      </c>
      <c r="E1204" t="str">
        <f>VLOOKUP(D1204,'Tên SP'!B$2:C$1070,2,0)</f>
        <v>NƯỚC XẢ VẢI LIXSOFT 3,6L/C04</v>
      </c>
      <c r="F1204" s="4">
        <v>80224</v>
      </c>
      <c r="G1204">
        <v>1</v>
      </c>
      <c r="H1204" s="4">
        <v>80224</v>
      </c>
      <c r="I1204" s="4">
        <v>0</v>
      </c>
      <c r="J1204" s="5">
        <f t="shared" si="18"/>
        <v>80224</v>
      </c>
    </row>
    <row r="1205" spans="1:10" x14ac:dyDescent="0.25">
      <c r="A1205" s="6">
        <v>1214</v>
      </c>
      <c r="B1205" t="s">
        <v>2280</v>
      </c>
      <c r="C1205" t="s">
        <v>1023</v>
      </c>
      <c r="D1205" t="s">
        <v>28</v>
      </c>
      <c r="E1205" t="str">
        <f>VLOOKUP(D1205,'Tên SP'!B$2:C$1070,2,0)</f>
        <v>NƯỚC XẢ VẢI LIXSOFT HƯƠNG HOA HỒNG 3,6L/C04</v>
      </c>
      <c r="F1205" s="4">
        <v>80224</v>
      </c>
      <c r="G1205">
        <v>1</v>
      </c>
      <c r="H1205" s="4">
        <v>80224</v>
      </c>
      <c r="I1205" s="4">
        <v>-1</v>
      </c>
      <c r="J1205" s="5">
        <f t="shared" si="18"/>
        <v>80223</v>
      </c>
    </row>
    <row r="1206" spans="1:10" x14ac:dyDescent="0.25">
      <c r="A1206" s="6">
        <v>1215</v>
      </c>
      <c r="B1206" t="s">
        <v>2280</v>
      </c>
      <c r="C1206" t="s">
        <v>1023</v>
      </c>
      <c r="D1206" t="s">
        <v>184</v>
      </c>
      <c r="E1206" t="str">
        <f>VLOOKUP(D1206,'Tên SP'!B$2:C$1070,2,0)</f>
        <v>GEL DIỆT KHUẨN TAY ON1 60ML/CH80</v>
      </c>
      <c r="F1206" s="4">
        <v>21800</v>
      </c>
      <c r="G1206">
        <v>1</v>
      </c>
      <c r="H1206" s="4">
        <v>21800</v>
      </c>
      <c r="I1206" s="4">
        <v>-21800</v>
      </c>
      <c r="J1206" s="5">
        <f t="shared" si="18"/>
        <v>0</v>
      </c>
    </row>
    <row r="1207" spans="1:10" x14ac:dyDescent="0.25">
      <c r="A1207" s="6">
        <v>1216</v>
      </c>
      <c r="B1207" t="s">
        <v>2281</v>
      </c>
      <c r="C1207" t="s">
        <v>1024</v>
      </c>
      <c r="D1207" t="s">
        <v>38</v>
      </c>
      <c r="E1207" t="str">
        <f>VLOOKUP(D1207,'Tên SP'!B$2:C$1070,2,0)</f>
        <v>BỘT GIẶT LIXE HƯƠNG NƯỚC HOA 5,5KG/03</v>
      </c>
      <c r="F1207" s="4">
        <v>140600</v>
      </c>
      <c r="G1207">
        <v>1</v>
      </c>
      <c r="H1207" s="4">
        <v>140600</v>
      </c>
      <c r="I1207" s="4">
        <v>-15000</v>
      </c>
      <c r="J1207" s="5">
        <f t="shared" si="18"/>
        <v>125600</v>
      </c>
    </row>
    <row r="1208" spans="1:10" x14ac:dyDescent="0.25">
      <c r="A1208" s="6">
        <v>1217</v>
      </c>
      <c r="B1208" t="s">
        <v>2282</v>
      </c>
      <c r="C1208" t="s">
        <v>1025</v>
      </c>
      <c r="D1208" t="s">
        <v>100</v>
      </c>
      <c r="E1208" t="str">
        <f>VLOOKUP(D1208,'Tên SP'!B$2:C$1070,2,0)</f>
        <v>NƯỚC GIẶT LIX HƯƠNG NƯỚC HOA 3,6KG/C04</v>
      </c>
      <c r="F1208" s="4">
        <v>116400</v>
      </c>
      <c r="G1208">
        <v>1</v>
      </c>
      <c r="H1208" s="4">
        <v>116400</v>
      </c>
      <c r="I1208" s="4">
        <v>0</v>
      </c>
      <c r="J1208" s="5">
        <f t="shared" si="18"/>
        <v>116400</v>
      </c>
    </row>
    <row r="1209" spans="1:10" x14ac:dyDescent="0.25">
      <c r="A1209" s="6">
        <v>1218</v>
      </c>
      <c r="B1209" t="s">
        <v>2283</v>
      </c>
      <c r="C1209" t="s">
        <v>1026</v>
      </c>
      <c r="D1209" t="s">
        <v>38</v>
      </c>
      <c r="E1209" t="str">
        <f>VLOOKUP(D1209,'Tên SP'!B$2:C$1070,2,0)</f>
        <v>BỘT GIẶT LIXE HƯƠNG NƯỚC HOA 5,5KG/03</v>
      </c>
      <c r="F1209" s="4">
        <v>140600</v>
      </c>
      <c r="G1209">
        <v>1</v>
      </c>
      <c r="H1209" s="4">
        <v>140600</v>
      </c>
      <c r="I1209" s="4">
        <v>-15000</v>
      </c>
      <c r="J1209" s="5">
        <f t="shared" ref="J1209:J1272" si="19">H1209+I1209</f>
        <v>125600</v>
      </c>
    </row>
    <row r="1210" spans="1:10" x14ac:dyDescent="0.25">
      <c r="A1210" s="6">
        <v>1219</v>
      </c>
      <c r="B1210" t="s">
        <v>2284</v>
      </c>
      <c r="C1210" t="s">
        <v>1027</v>
      </c>
      <c r="D1210" t="s">
        <v>9</v>
      </c>
      <c r="E1210" t="str">
        <f>VLOOKUP(D1210,'Tên SP'!B$2:C$1070,2,0)</f>
        <v>NƯỚC GIẶT LIX ĐẬM ĐẶC 3,5KG/T04 TÚI</v>
      </c>
      <c r="F1210" s="4">
        <v>105000</v>
      </c>
      <c r="G1210">
        <v>1</v>
      </c>
      <c r="H1210" s="4">
        <v>105000</v>
      </c>
      <c r="I1210" s="4">
        <v>0</v>
      </c>
      <c r="J1210" s="5">
        <f t="shared" si="19"/>
        <v>105000</v>
      </c>
    </row>
    <row r="1211" spans="1:10" x14ac:dyDescent="0.25">
      <c r="A1211" s="6">
        <v>1220</v>
      </c>
      <c r="B1211" t="s">
        <v>2285</v>
      </c>
      <c r="C1211" t="s">
        <v>1028</v>
      </c>
      <c r="D1211" t="s">
        <v>60</v>
      </c>
      <c r="E1211" t="str">
        <f>VLOOKUP(D1211,'Tên SP'!B$2:C$1070,2,0)</f>
        <v>BỘT GIẶT LIX DD CHỐNG LEM MÀU 800G/12</v>
      </c>
      <c r="F1211" s="4">
        <v>25230</v>
      </c>
      <c r="G1211">
        <v>1</v>
      </c>
      <c r="H1211" s="4">
        <v>25230</v>
      </c>
      <c r="I1211" s="4">
        <v>-3633</v>
      </c>
      <c r="J1211" s="5">
        <f t="shared" si="19"/>
        <v>21597</v>
      </c>
    </row>
    <row r="1212" spans="1:10" x14ac:dyDescent="0.25">
      <c r="A1212" s="6">
        <v>1221</v>
      </c>
      <c r="B1212" t="s">
        <v>2285</v>
      </c>
      <c r="C1212" t="s">
        <v>1028</v>
      </c>
      <c r="D1212" t="s">
        <v>106</v>
      </c>
      <c r="E1212" t="str">
        <f>VLOOKUP(D1212,'Tên SP'!B$2:C$1070,2,0)</f>
        <v>NƯỚC GIẶT LIX SIÊU SẠCH HOA ANH ĐÀO 2.4KG/T06</v>
      </c>
      <c r="F1212" s="4">
        <v>67200</v>
      </c>
      <c r="G1212">
        <v>1</v>
      </c>
      <c r="H1212" s="4">
        <v>67200</v>
      </c>
      <c r="I1212" s="4">
        <v>-9675</v>
      </c>
      <c r="J1212" s="5">
        <f t="shared" si="19"/>
        <v>57525</v>
      </c>
    </row>
    <row r="1213" spans="1:10" x14ac:dyDescent="0.25">
      <c r="A1213" s="6">
        <v>1222</v>
      </c>
      <c r="B1213" t="s">
        <v>2285</v>
      </c>
      <c r="C1213" t="s">
        <v>1028</v>
      </c>
      <c r="D1213" t="s">
        <v>106</v>
      </c>
      <c r="E1213" t="str">
        <f>VLOOKUP(D1213,'Tên SP'!B$2:C$1070,2,0)</f>
        <v>NƯỚC GIẶT LIX SIÊU SẠCH HOA ANH ĐÀO 2.4KG/T06</v>
      </c>
      <c r="F1213" s="4">
        <v>67200</v>
      </c>
      <c r="G1213">
        <v>1</v>
      </c>
      <c r="H1213" s="4">
        <v>67200</v>
      </c>
      <c r="I1213" s="4">
        <v>-9674</v>
      </c>
      <c r="J1213" s="5">
        <f t="shared" si="19"/>
        <v>57526</v>
      </c>
    </row>
    <row r="1214" spans="1:10" x14ac:dyDescent="0.25">
      <c r="A1214" s="6">
        <v>1223</v>
      </c>
      <c r="B1214" t="s">
        <v>2286</v>
      </c>
      <c r="C1214" t="s">
        <v>1029</v>
      </c>
      <c r="D1214" t="s">
        <v>100</v>
      </c>
      <c r="E1214" t="str">
        <f>VLOOKUP(D1214,'Tên SP'!B$2:C$1070,2,0)</f>
        <v>NƯỚC GIẶT LIX HƯƠNG NƯỚC HOA 3,6KG/C04</v>
      </c>
      <c r="F1214" s="4">
        <v>104400</v>
      </c>
      <c r="G1214">
        <v>1</v>
      </c>
      <c r="H1214" s="4">
        <v>104400</v>
      </c>
      <c r="I1214" s="4">
        <v>0</v>
      </c>
      <c r="J1214" s="5">
        <f t="shared" si="19"/>
        <v>104400</v>
      </c>
    </row>
    <row r="1215" spans="1:10" x14ac:dyDescent="0.25">
      <c r="A1215" s="6">
        <v>1224</v>
      </c>
      <c r="B1215" t="s">
        <v>2287</v>
      </c>
      <c r="C1215" t="s">
        <v>1030</v>
      </c>
      <c r="D1215" t="s">
        <v>44</v>
      </c>
      <c r="E1215" t="str">
        <f>VLOOKUP(D1215,'Tên SP'!B$2:C$1070,2,0)</f>
        <v>BỘT GIẶT LIXE CHANH 5,5KG/03</v>
      </c>
      <c r="F1215" s="4">
        <v>140600</v>
      </c>
      <c r="G1215">
        <v>1</v>
      </c>
      <c r="H1215" s="4">
        <v>140600</v>
      </c>
      <c r="I1215" s="4">
        <v>0</v>
      </c>
      <c r="J1215" s="5">
        <f t="shared" si="19"/>
        <v>140600</v>
      </c>
    </row>
    <row r="1216" spans="1:10" x14ac:dyDescent="0.25">
      <c r="A1216" s="6">
        <v>1225</v>
      </c>
      <c r="B1216" t="s">
        <v>2288</v>
      </c>
      <c r="C1216" t="s">
        <v>1031</v>
      </c>
      <c r="D1216" t="s">
        <v>81</v>
      </c>
      <c r="E1216" t="str">
        <f>VLOOKUP(D1216,'Tên SP'!B$2:C$1070,2,0)</f>
        <v>NƯỚC RỬA CHÉN SIÊU SẠCH TRÀ 3,5KG/T04- TÚI</v>
      </c>
      <c r="F1216" s="4">
        <v>73100</v>
      </c>
      <c r="G1216">
        <v>1</v>
      </c>
      <c r="H1216" s="4">
        <v>73100</v>
      </c>
      <c r="I1216" s="4">
        <v>0</v>
      </c>
      <c r="J1216" s="5">
        <f t="shared" si="19"/>
        <v>73100</v>
      </c>
    </row>
    <row r="1217" spans="1:10" x14ac:dyDescent="0.25">
      <c r="A1217" s="6">
        <v>1226</v>
      </c>
      <c r="B1217" t="s">
        <v>2289</v>
      </c>
      <c r="C1217" t="s">
        <v>1032</v>
      </c>
      <c r="D1217" t="s">
        <v>102</v>
      </c>
      <c r="E1217" t="str">
        <f>VLOOKUP(D1217,'Tên SP'!B$2:C$1070,2,0)</f>
        <v>NƯỚC GIẶT LIX HƯƠNG NƯỚC HOA 3,5KG/T04 TÚI</v>
      </c>
      <c r="F1217" s="4">
        <v>102300</v>
      </c>
      <c r="G1217">
        <v>1</v>
      </c>
      <c r="H1217" s="4">
        <v>102300</v>
      </c>
      <c r="I1217" s="4">
        <v>0</v>
      </c>
      <c r="J1217" s="5">
        <f t="shared" si="19"/>
        <v>102300</v>
      </c>
    </row>
    <row r="1218" spans="1:10" x14ac:dyDescent="0.25">
      <c r="A1218" s="6">
        <v>1227</v>
      </c>
      <c r="B1218" t="s">
        <v>2290</v>
      </c>
      <c r="C1218" t="s">
        <v>1033</v>
      </c>
      <c r="D1218" t="s">
        <v>31</v>
      </c>
      <c r="E1218" t="str">
        <f>VLOOKUP(D1218,'Tên SP'!B$2:C$1070,2,0)</f>
        <v>BỘT GIẶT LIXE 5,5KG/03</v>
      </c>
      <c r="F1218" s="4">
        <v>126150</v>
      </c>
      <c r="G1218">
        <v>1</v>
      </c>
      <c r="H1218" s="4">
        <v>126150</v>
      </c>
      <c r="I1218" s="4">
        <v>0</v>
      </c>
      <c r="J1218" s="5">
        <f t="shared" si="19"/>
        <v>126150</v>
      </c>
    </row>
    <row r="1219" spans="1:10" x14ac:dyDescent="0.25">
      <c r="A1219" s="6">
        <v>1228</v>
      </c>
      <c r="B1219" t="s">
        <v>2291</v>
      </c>
      <c r="C1219" t="s">
        <v>1034</v>
      </c>
      <c r="D1219" t="s">
        <v>23</v>
      </c>
      <c r="E1219" t="str">
        <f>VLOOKUP(D1219,'Tên SP'!B$2:C$1070,2,0)</f>
        <v>NƯỚC XẢ VẢI LIXSOFT 3,6L/C04</v>
      </c>
      <c r="F1219" s="4">
        <v>89700</v>
      </c>
      <c r="G1219">
        <v>1</v>
      </c>
      <c r="H1219" s="4">
        <v>89700</v>
      </c>
      <c r="I1219" s="4">
        <v>0</v>
      </c>
      <c r="J1219" s="5">
        <f t="shared" si="19"/>
        <v>89700</v>
      </c>
    </row>
    <row r="1220" spans="1:10" x14ac:dyDescent="0.25">
      <c r="A1220" s="6">
        <v>1229</v>
      </c>
      <c r="B1220" t="s">
        <v>2292</v>
      </c>
      <c r="C1220" t="s">
        <v>1035</v>
      </c>
      <c r="D1220" t="s">
        <v>28</v>
      </c>
      <c r="E1220" t="str">
        <f>VLOOKUP(D1220,'Tên SP'!B$2:C$1070,2,0)</f>
        <v>NƯỚC XẢ VẢI LIXSOFT HƯƠNG HOA HỒNG 3,6L/C04</v>
      </c>
      <c r="F1220" s="4">
        <v>89700</v>
      </c>
      <c r="G1220">
        <v>1</v>
      </c>
      <c r="H1220" s="4">
        <v>89700</v>
      </c>
      <c r="I1220" s="4">
        <v>-13455</v>
      </c>
      <c r="J1220" s="5">
        <f t="shared" si="19"/>
        <v>76245</v>
      </c>
    </row>
    <row r="1221" spans="1:10" x14ac:dyDescent="0.25">
      <c r="A1221" s="6">
        <v>1230</v>
      </c>
      <c r="B1221" t="s">
        <v>2293</v>
      </c>
      <c r="C1221" t="s">
        <v>1036</v>
      </c>
      <c r="D1221" t="s">
        <v>92</v>
      </c>
      <c r="E1221" t="str">
        <f>VLOOKUP(D1221,'Tên SP'!B$2:C$1070,2,0)</f>
        <v>NƯỚC LAU SÀN LILY &amp; HOA HỒNG LIX 3.6L/C04</v>
      </c>
      <c r="F1221" s="4">
        <v>82400</v>
      </c>
      <c r="G1221">
        <v>1</v>
      </c>
      <c r="H1221" s="4">
        <v>82400</v>
      </c>
      <c r="I1221" s="4">
        <v>-4120</v>
      </c>
      <c r="J1221" s="5">
        <f t="shared" si="19"/>
        <v>78280</v>
      </c>
    </row>
    <row r="1222" spans="1:10" x14ac:dyDescent="0.25">
      <c r="A1222" s="6">
        <v>1231</v>
      </c>
      <c r="B1222" t="s">
        <v>2293</v>
      </c>
      <c r="C1222" t="s">
        <v>1036</v>
      </c>
      <c r="D1222" t="s">
        <v>23</v>
      </c>
      <c r="E1222" t="str">
        <f>VLOOKUP(D1222,'Tên SP'!B$2:C$1070,2,0)</f>
        <v>NƯỚC XẢ VẢI LIXSOFT 3,6L/C04</v>
      </c>
      <c r="F1222" s="4">
        <v>89700</v>
      </c>
      <c r="G1222">
        <v>1</v>
      </c>
      <c r="H1222" s="4">
        <v>89700</v>
      </c>
      <c r="I1222" s="4">
        <v>-4485</v>
      </c>
      <c r="J1222" s="5">
        <f t="shared" si="19"/>
        <v>85215</v>
      </c>
    </row>
    <row r="1223" spans="1:10" x14ac:dyDescent="0.25">
      <c r="A1223" s="6">
        <v>1232</v>
      </c>
      <c r="B1223" t="s">
        <v>2293</v>
      </c>
      <c r="C1223" t="s">
        <v>1036</v>
      </c>
      <c r="D1223" t="s">
        <v>29</v>
      </c>
      <c r="E1223" t="str">
        <f>VLOOKUP(D1223,'Tên SP'!B$2:C$1070,2,0)</f>
        <v>BỘT GIẶT LIXE 9KG/02</v>
      </c>
      <c r="F1223" s="4">
        <v>212400</v>
      </c>
      <c r="G1223">
        <v>1</v>
      </c>
      <c r="H1223" s="4">
        <v>212400</v>
      </c>
      <c r="I1223" s="4">
        <v>-10620</v>
      </c>
      <c r="J1223" s="5">
        <f t="shared" si="19"/>
        <v>201780</v>
      </c>
    </row>
    <row r="1224" spans="1:10" x14ac:dyDescent="0.25">
      <c r="A1224" s="6">
        <v>1233</v>
      </c>
      <c r="B1224" t="s">
        <v>2294</v>
      </c>
      <c r="C1224" t="s">
        <v>1037</v>
      </c>
      <c r="D1224" t="s">
        <v>102</v>
      </c>
      <c r="E1224" t="str">
        <f>VLOOKUP(D1224,'Tên SP'!B$2:C$1070,2,0)</f>
        <v>NƯỚC GIẶT LIX HƯƠNG NƯỚC HOA 3,5KG/T04 TÚI</v>
      </c>
      <c r="F1224" s="4">
        <v>102300</v>
      </c>
      <c r="G1224">
        <v>1</v>
      </c>
      <c r="H1224" s="4">
        <v>102300</v>
      </c>
      <c r="I1224" s="4">
        <v>-15000</v>
      </c>
      <c r="J1224" s="5">
        <f t="shared" si="19"/>
        <v>87300</v>
      </c>
    </row>
    <row r="1225" spans="1:10" x14ac:dyDescent="0.25">
      <c r="A1225" s="6">
        <v>1234</v>
      </c>
      <c r="B1225" t="s">
        <v>2295</v>
      </c>
      <c r="C1225" t="s">
        <v>1038</v>
      </c>
      <c r="D1225" t="s">
        <v>102</v>
      </c>
      <c r="E1225" t="str">
        <f>VLOOKUP(D1225,'Tên SP'!B$2:C$1070,2,0)</f>
        <v>NƯỚC GIẶT LIX HƯƠNG NƯỚC HOA 3,5KG/T04 TÚI</v>
      </c>
      <c r="F1225" s="4">
        <v>102300</v>
      </c>
      <c r="G1225">
        <v>1</v>
      </c>
      <c r="H1225" s="4">
        <v>102300</v>
      </c>
      <c r="I1225" s="4">
        <v>0</v>
      </c>
      <c r="J1225" s="5">
        <f t="shared" si="19"/>
        <v>102300</v>
      </c>
    </row>
    <row r="1226" spans="1:10" x14ac:dyDescent="0.25">
      <c r="A1226" s="6">
        <v>1235</v>
      </c>
      <c r="B1226" t="s">
        <v>2296</v>
      </c>
      <c r="C1226" t="s">
        <v>1039</v>
      </c>
      <c r="D1226" t="s">
        <v>106</v>
      </c>
      <c r="E1226" t="str">
        <f>VLOOKUP(D1226,'Tên SP'!B$2:C$1070,2,0)</f>
        <v>NƯỚC GIẶT LIX SIÊU SẠCH HOA ANH ĐÀO 2.4KG/T06</v>
      </c>
      <c r="F1226" s="4">
        <v>67200</v>
      </c>
      <c r="G1226">
        <v>1</v>
      </c>
      <c r="H1226" s="4">
        <v>67200</v>
      </c>
      <c r="I1226" s="4">
        <v>-10188</v>
      </c>
      <c r="J1226" s="5">
        <f t="shared" si="19"/>
        <v>57012</v>
      </c>
    </row>
    <row r="1227" spans="1:10" x14ac:dyDescent="0.25">
      <c r="A1227" s="6">
        <v>1236</v>
      </c>
      <c r="B1227" t="s">
        <v>2296</v>
      </c>
      <c r="C1227" t="s">
        <v>1039</v>
      </c>
      <c r="D1227" t="s">
        <v>106</v>
      </c>
      <c r="E1227" t="str">
        <f>VLOOKUP(D1227,'Tên SP'!B$2:C$1070,2,0)</f>
        <v>NƯỚC GIẶT LIX SIÊU SẠCH HOA ANH ĐÀO 2.4KG/T06</v>
      </c>
      <c r="F1227" s="4">
        <v>67200</v>
      </c>
      <c r="G1227">
        <v>1</v>
      </c>
      <c r="H1227" s="4">
        <v>67200</v>
      </c>
      <c r="I1227" s="4">
        <v>-10188</v>
      </c>
      <c r="J1227" s="5">
        <f t="shared" si="19"/>
        <v>57012</v>
      </c>
    </row>
    <row r="1228" spans="1:10" x14ac:dyDescent="0.25">
      <c r="A1228" s="6">
        <v>1237</v>
      </c>
      <c r="B1228" t="s">
        <v>2297</v>
      </c>
      <c r="C1228" t="s">
        <v>1040</v>
      </c>
      <c r="D1228" t="s">
        <v>106</v>
      </c>
      <c r="E1228" t="str">
        <f>VLOOKUP(D1228,'Tên SP'!B$2:C$1070,2,0)</f>
        <v>NƯỚC GIẶT LIX SIÊU SẠCH HOA ANH ĐÀO 2.4KG/T06</v>
      </c>
      <c r="F1228" s="4">
        <v>67200</v>
      </c>
      <c r="G1228">
        <v>1</v>
      </c>
      <c r="H1228" s="4">
        <v>67200</v>
      </c>
      <c r="I1228" s="4">
        <v>-6172</v>
      </c>
      <c r="J1228" s="5">
        <f t="shared" si="19"/>
        <v>61028</v>
      </c>
    </row>
    <row r="1229" spans="1:10" x14ac:dyDescent="0.25">
      <c r="A1229" s="6">
        <v>1238</v>
      </c>
      <c r="B1229" t="s">
        <v>2297</v>
      </c>
      <c r="C1229" t="s">
        <v>1040</v>
      </c>
      <c r="D1229" t="s">
        <v>106</v>
      </c>
      <c r="E1229" t="str">
        <f>VLOOKUP(D1229,'Tên SP'!B$2:C$1070,2,0)</f>
        <v>NƯỚC GIẶT LIX SIÊU SẠCH HOA ANH ĐÀO 2.4KG/T06</v>
      </c>
      <c r="F1229" s="4">
        <v>67200</v>
      </c>
      <c r="G1229">
        <v>1</v>
      </c>
      <c r="H1229" s="4">
        <v>67200</v>
      </c>
      <c r="I1229" s="4">
        <v>-6172</v>
      </c>
      <c r="J1229" s="5">
        <f t="shared" si="19"/>
        <v>61028</v>
      </c>
    </row>
    <row r="1230" spans="1:10" x14ac:dyDescent="0.25">
      <c r="A1230" s="6">
        <v>1239</v>
      </c>
      <c r="B1230" t="s">
        <v>2297</v>
      </c>
      <c r="C1230" t="s">
        <v>1040</v>
      </c>
      <c r="D1230" t="s">
        <v>106</v>
      </c>
      <c r="E1230" t="str">
        <f>VLOOKUP(D1230,'Tên SP'!B$2:C$1070,2,0)</f>
        <v>NƯỚC GIẶT LIX SIÊU SẠCH HOA ANH ĐÀO 2.4KG/T06</v>
      </c>
      <c r="F1230" s="4">
        <v>67200</v>
      </c>
      <c r="G1230">
        <v>1</v>
      </c>
      <c r="H1230" s="4">
        <v>67200</v>
      </c>
      <c r="I1230" s="4">
        <v>-6172</v>
      </c>
      <c r="J1230" s="5">
        <f t="shared" si="19"/>
        <v>61028</v>
      </c>
    </row>
    <row r="1231" spans="1:10" x14ac:dyDescent="0.25">
      <c r="A1231" s="6">
        <v>1240</v>
      </c>
      <c r="B1231" t="s">
        <v>2297</v>
      </c>
      <c r="C1231" t="s">
        <v>1040</v>
      </c>
      <c r="D1231" t="s">
        <v>106</v>
      </c>
      <c r="E1231" t="str">
        <f>VLOOKUP(D1231,'Tên SP'!B$2:C$1070,2,0)</f>
        <v>NƯỚC GIẶT LIX SIÊU SẠCH HOA ANH ĐÀO 2.4KG/T06</v>
      </c>
      <c r="F1231" s="4">
        <v>67200</v>
      </c>
      <c r="G1231">
        <v>1</v>
      </c>
      <c r="H1231" s="4">
        <v>67200</v>
      </c>
      <c r="I1231" s="4">
        <v>-6171</v>
      </c>
      <c r="J1231" s="5">
        <f t="shared" si="19"/>
        <v>61029</v>
      </c>
    </row>
    <row r="1232" spans="1:10" x14ac:dyDescent="0.25">
      <c r="A1232" s="6">
        <v>1241</v>
      </c>
      <c r="B1232" t="s">
        <v>2297</v>
      </c>
      <c r="C1232" t="s">
        <v>1040</v>
      </c>
      <c r="D1232" t="s">
        <v>28</v>
      </c>
      <c r="E1232" t="str">
        <f>VLOOKUP(D1232,'Tên SP'!B$2:C$1070,2,0)</f>
        <v>NƯỚC XẢ VẢI LIXSOFT HƯƠNG HOA HỒNG 3,6L/C04</v>
      </c>
      <c r="F1232" s="4">
        <v>89700</v>
      </c>
      <c r="G1232">
        <v>1</v>
      </c>
      <c r="H1232" s="4">
        <v>89700</v>
      </c>
      <c r="I1232" s="4">
        <v>-8238</v>
      </c>
      <c r="J1232" s="5">
        <f t="shared" si="19"/>
        <v>81462</v>
      </c>
    </row>
    <row r="1233" spans="1:10" x14ac:dyDescent="0.25">
      <c r="A1233" s="6">
        <v>1242</v>
      </c>
      <c r="B1233" t="s">
        <v>2298</v>
      </c>
      <c r="C1233" t="s">
        <v>1041</v>
      </c>
      <c r="D1233" t="s">
        <v>102</v>
      </c>
      <c r="E1233" t="str">
        <f>VLOOKUP(D1233,'Tên SP'!B$2:C$1070,2,0)</f>
        <v>NƯỚC GIẶT LIX HƯƠNG NƯỚC HOA 3,5KG/T04 TÚI</v>
      </c>
      <c r="F1233" s="4">
        <v>102300</v>
      </c>
      <c r="G1233">
        <v>1</v>
      </c>
      <c r="H1233" s="4">
        <v>102300</v>
      </c>
      <c r="I1233" s="4">
        <v>-15000</v>
      </c>
      <c r="J1233" s="5">
        <f t="shared" si="19"/>
        <v>87300</v>
      </c>
    </row>
    <row r="1234" spans="1:10" x14ac:dyDescent="0.25">
      <c r="A1234" s="6">
        <v>1243</v>
      </c>
      <c r="B1234" t="s">
        <v>2299</v>
      </c>
      <c r="C1234" t="s">
        <v>1042</v>
      </c>
      <c r="D1234" t="s">
        <v>152</v>
      </c>
      <c r="E1234" t="str">
        <f>VLOOKUP(D1234,'Tên SP'!B$2:C$1070,2,0)</f>
        <v>NƯỚC GIẶT ON1 CHỐNG LEM MÀU FRESH SAKURA 3,5KG/T04 (TÚI)</v>
      </c>
      <c r="F1234" s="4">
        <v>1</v>
      </c>
      <c r="G1234">
        <v>1</v>
      </c>
      <c r="H1234" s="4">
        <v>1</v>
      </c>
      <c r="I1234" s="4">
        <v>0</v>
      </c>
      <c r="J1234" s="5">
        <f t="shared" si="19"/>
        <v>1</v>
      </c>
    </row>
    <row r="1235" spans="1:10" x14ac:dyDescent="0.25">
      <c r="A1235" s="6">
        <v>1244</v>
      </c>
      <c r="B1235" t="s">
        <v>2300</v>
      </c>
      <c r="C1235" t="s">
        <v>1043</v>
      </c>
      <c r="D1235" t="s">
        <v>9</v>
      </c>
      <c r="E1235" t="str">
        <f>VLOOKUP(D1235,'Tên SP'!B$2:C$1070,2,0)</f>
        <v>NƯỚC GIẶT LIX ĐẬM ĐẶC 3,5KG/T04 TÚI</v>
      </c>
      <c r="F1235" s="4">
        <v>88000</v>
      </c>
      <c r="G1235">
        <v>1</v>
      </c>
      <c r="H1235" s="4">
        <v>88000</v>
      </c>
      <c r="I1235" s="4">
        <v>-13200</v>
      </c>
      <c r="J1235" s="5">
        <f t="shared" si="19"/>
        <v>74800</v>
      </c>
    </row>
    <row r="1236" spans="1:10" x14ac:dyDescent="0.25">
      <c r="A1236" s="6">
        <v>1245</v>
      </c>
      <c r="B1236" t="s">
        <v>2301</v>
      </c>
      <c r="C1236" t="s">
        <v>1044</v>
      </c>
      <c r="D1236" t="s">
        <v>9</v>
      </c>
      <c r="E1236" t="str">
        <f>VLOOKUP(D1236,'Tên SP'!B$2:C$1070,2,0)</f>
        <v>NƯỚC GIẶT LIX ĐẬM ĐẶC 3,5KG/T04 TÚI</v>
      </c>
      <c r="F1236" s="4">
        <v>88000</v>
      </c>
      <c r="G1236">
        <v>1</v>
      </c>
      <c r="H1236" s="4">
        <v>88000</v>
      </c>
      <c r="I1236" s="4">
        <v>-3520</v>
      </c>
      <c r="J1236" s="5">
        <f t="shared" si="19"/>
        <v>84480</v>
      </c>
    </row>
    <row r="1237" spans="1:10" x14ac:dyDescent="0.25">
      <c r="A1237" s="6">
        <v>1246</v>
      </c>
      <c r="B1237" t="s">
        <v>2301</v>
      </c>
      <c r="C1237" t="s">
        <v>1044</v>
      </c>
      <c r="D1237" t="s">
        <v>9</v>
      </c>
      <c r="E1237" t="str">
        <f>VLOOKUP(D1237,'Tên SP'!B$2:C$1070,2,0)</f>
        <v>NƯỚC GIẶT LIX ĐẬM ĐẶC 3,5KG/T04 TÚI</v>
      </c>
      <c r="F1237" s="4">
        <v>88000</v>
      </c>
      <c r="G1237">
        <v>1</v>
      </c>
      <c r="H1237" s="4">
        <v>88000</v>
      </c>
      <c r="I1237" s="4">
        <v>-3520</v>
      </c>
      <c r="J1237" s="5">
        <f t="shared" si="19"/>
        <v>84480</v>
      </c>
    </row>
    <row r="1238" spans="1:10" x14ac:dyDescent="0.25">
      <c r="A1238" s="6">
        <v>1247</v>
      </c>
      <c r="B1238" t="s">
        <v>2302</v>
      </c>
      <c r="C1238" t="s">
        <v>1045</v>
      </c>
      <c r="D1238" t="s">
        <v>100</v>
      </c>
      <c r="E1238" t="str">
        <f>VLOOKUP(D1238,'Tên SP'!B$2:C$1070,2,0)</f>
        <v>NƯỚC GIẶT LIX HƯƠNG NƯỚC HOA 3,6KG/C04</v>
      </c>
      <c r="F1238" s="4">
        <v>104400</v>
      </c>
      <c r="G1238">
        <v>1</v>
      </c>
      <c r="H1238" s="4">
        <v>104400</v>
      </c>
      <c r="I1238" s="4">
        <v>-15000</v>
      </c>
      <c r="J1238" s="5">
        <f t="shared" si="19"/>
        <v>89400</v>
      </c>
    </row>
    <row r="1239" spans="1:10" x14ac:dyDescent="0.25">
      <c r="A1239" s="6">
        <v>1248</v>
      </c>
      <c r="B1239" t="s">
        <v>2303</v>
      </c>
      <c r="C1239" t="s">
        <v>1046</v>
      </c>
      <c r="D1239" t="s">
        <v>9</v>
      </c>
      <c r="E1239" t="str">
        <f>VLOOKUP(D1239,'Tên SP'!B$2:C$1070,2,0)</f>
        <v>NƯỚC GIẶT LIX ĐẬM ĐẶC 3,5KG/T04 TÚI</v>
      </c>
      <c r="F1239" s="4">
        <v>88000</v>
      </c>
      <c r="G1239">
        <v>1</v>
      </c>
      <c r="H1239" s="4">
        <v>88000</v>
      </c>
      <c r="I1239" s="4">
        <v>-13200</v>
      </c>
      <c r="J1239" s="5">
        <f t="shared" si="19"/>
        <v>74800</v>
      </c>
    </row>
    <row r="1240" spans="1:10" x14ac:dyDescent="0.25">
      <c r="A1240" s="6">
        <v>1249</v>
      </c>
      <c r="B1240" t="s">
        <v>2304</v>
      </c>
      <c r="C1240" t="s">
        <v>1047</v>
      </c>
      <c r="D1240" t="s">
        <v>9</v>
      </c>
      <c r="E1240" t="str">
        <f>VLOOKUP(D1240,'Tên SP'!B$2:C$1070,2,0)</f>
        <v>NƯỚC GIẶT LIX ĐẬM ĐẶC 3,5KG/T04 TÚI</v>
      </c>
      <c r="F1240" s="4">
        <v>88000</v>
      </c>
      <c r="G1240">
        <v>1</v>
      </c>
      <c r="H1240" s="4">
        <v>88000</v>
      </c>
      <c r="I1240" s="4">
        <v>-13200</v>
      </c>
      <c r="J1240" s="5">
        <f t="shared" si="19"/>
        <v>74800</v>
      </c>
    </row>
    <row r="1241" spans="1:10" x14ac:dyDescent="0.25">
      <c r="A1241" s="6">
        <v>1250</v>
      </c>
      <c r="B1241" t="s">
        <v>2305</v>
      </c>
      <c r="C1241" t="s">
        <v>1048</v>
      </c>
      <c r="D1241" t="s">
        <v>28</v>
      </c>
      <c r="E1241" t="str">
        <f>VLOOKUP(D1241,'Tên SP'!B$2:C$1070,2,0)</f>
        <v>NƯỚC XẢ VẢI LIXSOFT HƯƠNG HOA HỒNG 3,6L/C04</v>
      </c>
      <c r="F1241" s="4">
        <v>80100</v>
      </c>
      <c r="G1241">
        <v>1</v>
      </c>
      <c r="H1241" s="4">
        <v>80100</v>
      </c>
      <c r="I1241" s="4">
        <v>-3771</v>
      </c>
      <c r="J1241" s="5">
        <f t="shared" si="19"/>
        <v>76329</v>
      </c>
    </row>
    <row r="1242" spans="1:10" x14ac:dyDescent="0.25">
      <c r="A1242" s="6">
        <v>1251</v>
      </c>
      <c r="B1242" t="s">
        <v>2305</v>
      </c>
      <c r="C1242" t="s">
        <v>1048</v>
      </c>
      <c r="D1242" t="s">
        <v>94</v>
      </c>
      <c r="E1242" t="str">
        <f>VLOOKUP(D1242,'Tên SP'!B$2:C$1070,2,0)</f>
        <v>NƯỚC LAU SÀN ĐUỔI CÔN TRÙNG LIX 2L/C08</v>
      </c>
      <c r="F1242" s="4">
        <v>47900</v>
      </c>
      <c r="G1242">
        <v>1</v>
      </c>
      <c r="H1242" s="4">
        <v>47900</v>
      </c>
      <c r="I1242" s="4">
        <v>-2255</v>
      </c>
      <c r="J1242" s="5">
        <f t="shared" si="19"/>
        <v>45645</v>
      </c>
    </row>
    <row r="1243" spans="1:10" x14ac:dyDescent="0.25">
      <c r="A1243" s="6">
        <v>1252</v>
      </c>
      <c r="B1243" t="s">
        <v>2305</v>
      </c>
      <c r="C1243" t="s">
        <v>1048</v>
      </c>
      <c r="D1243" t="s">
        <v>29</v>
      </c>
      <c r="E1243" t="str">
        <f>VLOOKUP(D1243,'Tên SP'!B$2:C$1070,2,0)</f>
        <v>BỘT GIẶT LIXE 9KG/02</v>
      </c>
      <c r="F1243" s="4">
        <v>190600</v>
      </c>
      <c r="G1243">
        <v>1</v>
      </c>
      <c r="H1243" s="4">
        <v>190600</v>
      </c>
      <c r="I1243" s="4">
        <v>-8974</v>
      </c>
      <c r="J1243" s="5">
        <f t="shared" si="19"/>
        <v>181626</v>
      </c>
    </row>
    <row r="1244" spans="1:10" x14ac:dyDescent="0.25">
      <c r="A1244" s="6">
        <v>1253</v>
      </c>
      <c r="B1244" t="s">
        <v>2305</v>
      </c>
      <c r="C1244" t="s">
        <v>1048</v>
      </c>
      <c r="D1244" t="s">
        <v>184</v>
      </c>
      <c r="E1244" t="str">
        <f>VLOOKUP(D1244,'Tên SP'!B$2:C$1070,2,0)</f>
        <v>GEL DIỆT KHUẨN TAY ON1 60ML/CH80</v>
      </c>
      <c r="F1244" s="4">
        <v>21800</v>
      </c>
      <c r="G1244">
        <v>1</v>
      </c>
      <c r="H1244" s="4">
        <v>21800</v>
      </c>
      <c r="I1244" s="4">
        <v>-21800</v>
      </c>
      <c r="J1244" s="5">
        <f t="shared" si="19"/>
        <v>0</v>
      </c>
    </row>
    <row r="1245" spans="1:10" x14ac:dyDescent="0.25">
      <c r="A1245" s="6">
        <v>1254</v>
      </c>
      <c r="B1245" t="s">
        <v>2306</v>
      </c>
      <c r="C1245" t="s">
        <v>1049</v>
      </c>
      <c r="D1245" t="s">
        <v>100</v>
      </c>
      <c r="E1245" t="str">
        <f>VLOOKUP(D1245,'Tên SP'!B$2:C$1070,2,0)</f>
        <v>NƯỚC GIẶT LIX HƯƠNG NƯỚC HOA 3,6KG/C04</v>
      </c>
      <c r="F1245" s="4">
        <v>104400</v>
      </c>
      <c r="G1245">
        <v>1</v>
      </c>
      <c r="H1245" s="4">
        <v>104400</v>
      </c>
      <c r="I1245" s="4">
        <v>-15000</v>
      </c>
      <c r="J1245" s="5">
        <f t="shared" si="19"/>
        <v>89400</v>
      </c>
    </row>
    <row r="1246" spans="1:10" x14ac:dyDescent="0.25">
      <c r="A1246" s="6">
        <v>1255</v>
      </c>
      <c r="B1246" t="s">
        <v>2307</v>
      </c>
      <c r="C1246" t="s">
        <v>1050</v>
      </c>
      <c r="D1246" t="s">
        <v>23</v>
      </c>
      <c r="E1246" t="str">
        <f>VLOOKUP(D1246,'Tên SP'!B$2:C$1070,2,0)</f>
        <v>NƯỚC XẢ VẢI LIXSOFT 3,6L/C04</v>
      </c>
      <c r="F1246" s="4">
        <v>80100</v>
      </c>
      <c r="G1246">
        <v>1</v>
      </c>
      <c r="H1246" s="4">
        <v>80100</v>
      </c>
      <c r="I1246" s="4">
        <v>-12015</v>
      </c>
      <c r="J1246" s="5">
        <f t="shared" si="19"/>
        <v>68085</v>
      </c>
    </row>
    <row r="1247" spans="1:10" x14ac:dyDescent="0.25">
      <c r="A1247" s="6">
        <v>1256</v>
      </c>
      <c r="B1247" t="s">
        <v>2308</v>
      </c>
      <c r="C1247" t="s">
        <v>1051</v>
      </c>
      <c r="D1247" t="s">
        <v>100</v>
      </c>
      <c r="E1247" t="str">
        <f>VLOOKUP(D1247,'Tên SP'!B$2:C$1070,2,0)</f>
        <v>NƯỚC GIẶT LIX HƯƠNG NƯỚC HOA 3,6KG/C04</v>
      </c>
      <c r="F1247" s="4">
        <v>104400</v>
      </c>
      <c r="G1247">
        <v>1</v>
      </c>
      <c r="H1247" s="4">
        <v>104400</v>
      </c>
      <c r="I1247" s="4">
        <v>-15000</v>
      </c>
      <c r="J1247" s="5">
        <f t="shared" si="19"/>
        <v>89400</v>
      </c>
    </row>
    <row r="1248" spans="1:10" x14ac:dyDescent="0.25">
      <c r="A1248" s="6">
        <v>1257</v>
      </c>
      <c r="B1248" t="s">
        <v>2309</v>
      </c>
      <c r="C1248" t="s">
        <v>1052</v>
      </c>
      <c r="D1248" t="s">
        <v>9</v>
      </c>
      <c r="E1248" t="str">
        <f>VLOOKUP(D1248,'Tên SP'!B$2:C$1070,2,0)</f>
        <v>NƯỚC GIẶT LIX ĐẬM ĐẶC 3,5KG/T04 TÚI</v>
      </c>
      <c r="F1248" s="4">
        <v>88000</v>
      </c>
      <c r="G1248">
        <v>1</v>
      </c>
      <c r="H1248" s="4">
        <v>88000</v>
      </c>
      <c r="I1248" s="4">
        <v>-13200</v>
      </c>
      <c r="J1248" s="5">
        <f t="shared" si="19"/>
        <v>74800</v>
      </c>
    </row>
    <row r="1249" spans="1:10" x14ac:dyDescent="0.25">
      <c r="A1249" s="6">
        <v>1258</v>
      </c>
      <c r="B1249" t="s">
        <v>2310</v>
      </c>
      <c r="C1249" t="s">
        <v>1053</v>
      </c>
      <c r="D1249" t="s">
        <v>9</v>
      </c>
      <c r="E1249" t="str">
        <f>VLOOKUP(D1249,'Tên SP'!B$2:C$1070,2,0)</f>
        <v>NƯỚC GIẶT LIX ĐẬM ĐẶC 3,5KG/T04 TÚI</v>
      </c>
      <c r="F1249" s="4">
        <v>88000</v>
      </c>
      <c r="G1249">
        <v>1</v>
      </c>
      <c r="H1249" s="4">
        <v>88000</v>
      </c>
      <c r="I1249" s="4">
        <v>-13200</v>
      </c>
      <c r="J1249" s="5">
        <f t="shared" si="19"/>
        <v>74800</v>
      </c>
    </row>
    <row r="1250" spans="1:10" x14ac:dyDescent="0.25">
      <c r="A1250" s="6">
        <v>1259</v>
      </c>
      <c r="B1250" t="s">
        <v>2311</v>
      </c>
      <c r="C1250" t="s">
        <v>1054</v>
      </c>
      <c r="D1250" t="s">
        <v>9</v>
      </c>
      <c r="E1250" t="str">
        <f>VLOOKUP(D1250,'Tên SP'!B$2:C$1070,2,0)</f>
        <v>NƯỚC GIẶT LIX ĐẬM ĐẶC 3,5KG/T04 TÚI</v>
      </c>
      <c r="F1250" s="4">
        <v>88000</v>
      </c>
      <c r="G1250">
        <v>1</v>
      </c>
      <c r="H1250" s="4">
        <v>88000</v>
      </c>
      <c r="I1250" s="4">
        <v>-13200</v>
      </c>
      <c r="J1250" s="5">
        <f t="shared" si="19"/>
        <v>74800</v>
      </c>
    </row>
    <row r="1251" spans="1:10" x14ac:dyDescent="0.25">
      <c r="A1251" s="6">
        <v>1260</v>
      </c>
      <c r="B1251" t="s">
        <v>2312</v>
      </c>
      <c r="C1251" t="s">
        <v>1055</v>
      </c>
      <c r="D1251" t="s">
        <v>85</v>
      </c>
      <c r="E1251" t="str">
        <f>VLOOKUP(D1251,'Tên SP'!B$2:C$1070,2,0)</f>
        <v>NƯỚC RỬA CHÉN SIÊU SẠCH TRÀ 3,6KG/C04</v>
      </c>
      <c r="F1251" s="4">
        <v>68800</v>
      </c>
      <c r="G1251">
        <v>1</v>
      </c>
      <c r="H1251" s="4">
        <v>68800</v>
      </c>
      <c r="I1251" s="4">
        <v>-10320</v>
      </c>
      <c r="J1251" s="5">
        <f t="shared" si="19"/>
        <v>58480</v>
      </c>
    </row>
    <row r="1252" spans="1:10" x14ac:dyDescent="0.25">
      <c r="A1252" s="6">
        <v>1261</v>
      </c>
      <c r="B1252" t="s">
        <v>2313</v>
      </c>
      <c r="C1252" t="s">
        <v>1056</v>
      </c>
      <c r="D1252" t="s">
        <v>9</v>
      </c>
      <c r="E1252" t="str">
        <f>VLOOKUP(D1252,'Tên SP'!B$2:C$1070,2,0)</f>
        <v>NƯỚC GIẶT LIX ĐẬM ĐẶC 3,5KG/T04 TÚI</v>
      </c>
      <c r="F1252" s="4">
        <v>88000</v>
      </c>
      <c r="G1252">
        <v>1</v>
      </c>
      <c r="H1252" s="4">
        <v>88000</v>
      </c>
      <c r="I1252" s="4">
        <v>-3520</v>
      </c>
      <c r="J1252" s="5">
        <f t="shared" si="19"/>
        <v>84480</v>
      </c>
    </row>
    <row r="1253" spans="1:10" x14ac:dyDescent="0.25">
      <c r="A1253" s="6">
        <v>1262</v>
      </c>
      <c r="B1253" t="s">
        <v>2313</v>
      </c>
      <c r="C1253" t="s">
        <v>1056</v>
      </c>
      <c r="D1253" t="s">
        <v>9</v>
      </c>
      <c r="E1253" t="str">
        <f>VLOOKUP(D1253,'Tên SP'!B$2:C$1070,2,0)</f>
        <v>NƯỚC GIẶT LIX ĐẬM ĐẶC 3,5KG/T04 TÚI</v>
      </c>
      <c r="F1253" s="4">
        <v>88000</v>
      </c>
      <c r="G1253">
        <v>1</v>
      </c>
      <c r="H1253" s="4">
        <v>88000</v>
      </c>
      <c r="I1253" s="4">
        <v>-3520</v>
      </c>
      <c r="J1253" s="5">
        <f t="shared" si="19"/>
        <v>84480</v>
      </c>
    </row>
    <row r="1254" spans="1:10" x14ac:dyDescent="0.25">
      <c r="A1254" s="6">
        <v>1263</v>
      </c>
      <c r="B1254" t="s">
        <v>2314</v>
      </c>
      <c r="C1254" t="s">
        <v>1057</v>
      </c>
      <c r="D1254" t="s">
        <v>9</v>
      </c>
      <c r="E1254" t="str">
        <f>VLOOKUP(D1254,'Tên SP'!B$2:C$1070,2,0)</f>
        <v>NƯỚC GIẶT LIX ĐẬM ĐẶC 3,5KG/T04 TÚI</v>
      </c>
      <c r="F1254" s="4">
        <v>88000</v>
      </c>
      <c r="G1254">
        <v>1</v>
      </c>
      <c r="H1254" s="4">
        <v>88000</v>
      </c>
      <c r="I1254" s="4">
        <v>-13200</v>
      </c>
      <c r="J1254" s="5">
        <f t="shared" si="19"/>
        <v>74800</v>
      </c>
    </row>
    <row r="1255" spans="1:10" x14ac:dyDescent="0.25">
      <c r="A1255" s="6">
        <v>1264</v>
      </c>
      <c r="B1255" t="s">
        <v>2315</v>
      </c>
      <c r="C1255" t="s">
        <v>1058</v>
      </c>
      <c r="D1255" t="s">
        <v>95</v>
      </c>
      <c r="E1255" t="str">
        <f>VLOOKUP(D1255,'Tên SP'!B$2:C$1070,2,0)</f>
        <v>NƯỚC LAU SÀN LIX ĐUỐI CÔN TRÙNG 1L/CH12</v>
      </c>
      <c r="F1255" s="4">
        <v>33000</v>
      </c>
      <c r="G1255">
        <v>1</v>
      </c>
      <c r="H1255" s="4">
        <v>33000</v>
      </c>
      <c r="I1255" s="4">
        <v>0</v>
      </c>
      <c r="J1255" s="5">
        <f t="shared" si="19"/>
        <v>33000</v>
      </c>
    </row>
    <row r="1256" spans="1:10" x14ac:dyDescent="0.25">
      <c r="A1256" s="6">
        <v>1265</v>
      </c>
      <c r="B1256" t="s">
        <v>2316</v>
      </c>
      <c r="C1256" t="s">
        <v>1059</v>
      </c>
      <c r="D1256" t="s">
        <v>200</v>
      </c>
      <c r="E1256" t="str">
        <f>VLOOKUP(D1256,'Tên SP'!B$2:C$1070,2,0)</f>
        <v>NƯỚC ỦI QUẦN ÁO 500ML/CH20</v>
      </c>
      <c r="F1256" s="4">
        <v>45000</v>
      </c>
      <c r="G1256">
        <v>1</v>
      </c>
      <c r="H1256" s="4">
        <v>45000</v>
      </c>
      <c r="I1256" s="4">
        <v>-2184</v>
      </c>
      <c r="J1256" s="5">
        <f t="shared" si="19"/>
        <v>42816</v>
      </c>
    </row>
    <row r="1257" spans="1:10" x14ac:dyDescent="0.25">
      <c r="A1257" s="6">
        <v>1266</v>
      </c>
      <c r="B1257" t="s">
        <v>2316</v>
      </c>
      <c r="C1257" t="s">
        <v>1059</v>
      </c>
      <c r="D1257" t="s">
        <v>9</v>
      </c>
      <c r="E1257" t="str">
        <f>VLOOKUP(D1257,'Tên SP'!B$2:C$1070,2,0)</f>
        <v>NƯỚC GIẶT LIX ĐẬM ĐẶC 3,5KG/T04 TÚI</v>
      </c>
      <c r="F1257" s="4">
        <v>88000</v>
      </c>
      <c r="G1257">
        <v>1</v>
      </c>
      <c r="H1257" s="4">
        <v>88000</v>
      </c>
      <c r="I1257" s="4">
        <v>-4272</v>
      </c>
      <c r="J1257" s="5">
        <f t="shared" si="19"/>
        <v>83728</v>
      </c>
    </row>
    <row r="1258" spans="1:10" x14ac:dyDescent="0.25">
      <c r="A1258" s="6">
        <v>1267</v>
      </c>
      <c r="B1258" t="s">
        <v>2316</v>
      </c>
      <c r="C1258" t="s">
        <v>1059</v>
      </c>
      <c r="D1258" t="s">
        <v>184</v>
      </c>
      <c r="E1258" t="str">
        <f>VLOOKUP(D1258,'Tên SP'!B$2:C$1070,2,0)</f>
        <v>GEL DIỆT KHUẨN TAY ON1 60ML/CH80</v>
      </c>
      <c r="F1258" s="4">
        <v>21800</v>
      </c>
      <c r="G1258">
        <v>1</v>
      </c>
      <c r="H1258" s="4">
        <v>21800</v>
      </c>
      <c r="I1258" s="4">
        <v>-21800</v>
      </c>
      <c r="J1258" s="5">
        <f t="shared" si="19"/>
        <v>0</v>
      </c>
    </row>
    <row r="1259" spans="1:10" x14ac:dyDescent="0.25">
      <c r="A1259" s="6">
        <v>1268</v>
      </c>
      <c r="B1259" t="s">
        <v>2316</v>
      </c>
      <c r="C1259" t="s">
        <v>1059</v>
      </c>
      <c r="D1259" t="s">
        <v>9</v>
      </c>
      <c r="E1259" t="str">
        <f>VLOOKUP(D1259,'Tên SP'!B$2:C$1070,2,0)</f>
        <v>NƯỚC GIẶT LIX ĐẬM ĐẶC 3,5KG/T04 TÚI</v>
      </c>
      <c r="F1259" s="4">
        <v>88000</v>
      </c>
      <c r="G1259">
        <v>1</v>
      </c>
      <c r="H1259" s="4">
        <v>88000</v>
      </c>
      <c r="I1259" s="4">
        <v>-4272</v>
      </c>
      <c r="J1259" s="5">
        <f t="shared" si="19"/>
        <v>83728</v>
      </c>
    </row>
    <row r="1260" spans="1:10" x14ac:dyDescent="0.25">
      <c r="A1260" s="6">
        <v>1269</v>
      </c>
      <c r="B1260" t="s">
        <v>2316</v>
      </c>
      <c r="C1260" t="s">
        <v>1059</v>
      </c>
      <c r="D1260" t="s">
        <v>9</v>
      </c>
      <c r="E1260" t="str">
        <f>VLOOKUP(D1260,'Tên SP'!B$2:C$1070,2,0)</f>
        <v>NƯỚC GIẶT LIX ĐẬM ĐẶC 3,5KG/T04 TÚI</v>
      </c>
      <c r="F1260" s="4">
        <v>88000</v>
      </c>
      <c r="G1260">
        <v>1</v>
      </c>
      <c r="H1260" s="4">
        <v>88000</v>
      </c>
      <c r="I1260" s="4">
        <v>-4272</v>
      </c>
      <c r="J1260" s="5">
        <f t="shared" si="19"/>
        <v>83728</v>
      </c>
    </row>
    <row r="1261" spans="1:10" x14ac:dyDescent="0.25">
      <c r="A1261" s="6">
        <v>1270</v>
      </c>
      <c r="B1261" t="s">
        <v>2317</v>
      </c>
      <c r="C1261" t="s">
        <v>1060</v>
      </c>
      <c r="D1261" t="s">
        <v>152</v>
      </c>
      <c r="E1261" t="str">
        <f>VLOOKUP(D1261,'Tên SP'!B$2:C$1070,2,0)</f>
        <v>NƯỚC GIẶT ON1 CHỐNG LEM MÀU FRESH SAKURA 3,5KG/T04 (TÚI)</v>
      </c>
      <c r="F1261" s="4">
        <v>1</v>
      </c>
      <c r="G1261">
        <v>1</v>
      </c>
      <c r="H1261" s="4">
        <v>1</v>
      </c>
      <c r="I1261" s="4">
        <v>0</v>
      </c>
      <c r="J1261" s="5">
        <f t="shared" si="19"/>
        <v>1</v>
      </c>
    </row>
    <row r="1262" spans="1:10" x14ac:dyDescent="0.25">
      <c r="A1262" s="6">
        <v>1271</v>
      </c>
      <c r="B1262" t="s">
        <v>2318</v>
      </c>
      <c r="C1262" t="s">
        <v>1061</v>
      </c>
      <c r="D1262" t="s">
        <v>9</v>
      </c>
      <c r="E1262" t="str">
        <f>VLOOKUP(D1262,'Tên SP'!B$2:C$1070,2,0)</f>
        <v>NƯỚC GIẶT LIX ĐẬM ĐẶC 3,5KG/T04 TÚI</v>
      </c>
      <c r="F1262" s="4">
        <v>88000</v>
      </c>
      <c r="G1262">
        <v>1</v>
      </c>
      <c r="H1262" s="4">
        <v>88000</v>
      </c>
      <c r="I1262" s="4">
        <v>0</v>
      </c>
      <c r="J1262" s="5">
        <f t="shared" si="19"/>
        <v>88000</v>
      </c>
    </row>
    <row r="1263" spans="1:10" x14ac:dyDescent="0.25">
      <c r="A1263" s="6">
        <v>1272</v>
      </c>
      <c r="B1263" t="s">
        <v>2319</v>
      </c>
      <c r="C1263" t="s">
        <v>1062</v>
      </c>
      <c r="D1263" t="s">
        <v>152</v>
      </c>
      <c r="E1263" t="str">
        <f>VLOOKUP(D1263,'Tên SP'!B$2:C$1070,2,0)</f>
        <v>NƯỚC GIẶT ON1 CHỐNG LEM MÀU FRESH SAKURA 3,5KG/T04 (TÚI)</v>
      </c>
      <c r="F1263" s="4">
        <v>1</v>
      </c>
      <c r="G1263">
        <v>1</v>
      </c>
      <c r="H1263" s="4">
        <v>1</v>
      </c>
      <c r="I1263" s="4">
        <v>0</v>
      </c>
      <c r="J1263" s="5">
        <f t="shared" si="19"/>
        <v>1</v>
      </c>
    </row>
    <row r="1264" spans="1:10" x14ac:dyDescent="0.25">
      <c r="A1264" s="6">
        <v>1273</v>
      </c>
      <c r="B1264" t="s">
        <v>2320</v>
      </c>
      <c r="C1264" t="s">
        <v>1063</v>
      </c>
      <c r="D1264" t="s">
        <v>97</v>
      </c>
      <c r="E1264" t="str">
        <f>VLOOKUP(D1264,'Tên SP'!B$2:C$1070,2,0)</f>
        <v>NƯỚC GIẶT LIX ĐẬM ĐẶC 3,6KG/C04</v>
      </c>
      <c r="F1264" s="4">
        <v>104400</v>
      </c>
      <c r="G1264">
        <v>1</v>
      </c>
      <c r="H1264" s="4">
        <v>104400</v>
      </c>
      <c r="I1264" s="4">
        <v>0</v>
      </c>
      <c r="J1264" s="5">
        <f t="shared" si="19"/>
        <v>104400</v>
      </c>
    </row>
    <row r="1265" spans="1:10" x14ac:dyDescent="0.25">
      <c r="A1265" s="6">
        <v>1274</v>
      </c>
      <c r="B1265" t="s">
        <v>2321</v>
      </c>
      <c r="C1265" t="s">
        <v>1064</v>
      </c>
      <c r="D1265" t="s">
        <v>102</v>
      </c>
      <c r="E1265" t="str">
        <f>VLOOKUP(D1265,'Tên SP'!B$2:C$1070,2,0)</f>
        <v>NƯỚC GIẶT LIX HƯƠNG NƯỚC HOA 3,5KG/T04 TÚI</v>
      </c>
      <c r="F1265" s="4">
        <v>91400</v>
      </c>
      <c r="G1265">
        <v>1</v>
      </c>
      <c r="H1265" s="4">
        <v>91400</v>
      </c>
      <c r="I1265" s="4">
        <v>0</v>
      </c>
      <c r="J1265" s="5">
        <f t="shared" si="19"/>
        <v>91400</v>
      </c>
    </row>
    <row r="1266" spans="1:10" x14ac:dyDescent="0.25">
      <c r="A1266" s="6">
        <v>1275</v>
      </c>
      <c r="B1266" t="s">
        <v>2321</v>
      </c>
      <c r="C1266" t="s">
        <v>1064</v>
      </c>
      <c r="D1266" t="s">
        <v>108</v>
      </c>
      <c r="E1266" t="str">
        <f>VLOOKUP(D1266,'Tên SP'!B$2:C$1070,2,0)</f>
        <v>NƯỚC GIẶT LIX SIÊU SẠCH HOA ANH ĐÀO 3.5KG/C04</v>
      </c>
      <c r="F1266" s="4">
        <v>100100</v>
      </c>
      <c r="G1266">
        <v>1</v>
      </c>
      <c r="H1266" s="4">
        <v>100100</v>
      </c>
      <c r="I1266" s="4">
        <v>0</v>
      </c>
      <c r="J1266" s="5">
        <f t="shared" si="19"/>
        <v>100100</v>
      </c>
    </row>
    <row r="1267" spans="1:10" x14ac:dyDescent="0.25">
      <c r="A1267" s="6">
        <v>1276</v>
      </c>
      <c r="B1267" t="s">
        <v>2321</v>
      </c>
      <c r="C1267" t="s">
        <v>1064</v>
      </c>
      <c r="D1267" t="s">
        <v>184</v>
      </c>
      <c r="E1267" t="str">
        <f>VLOOKUP(D1267,'Tên SP'!B$2:C$1070,2,0)</f>
        <v>GEL DIỆT KHUẨN TAY ON1 60ML/CH80</v>
      </c>
      <c r="F1267" s="4">
        <v>21800</v>
      </c>
      <c r="G1267">
        <v>1</v>
      </c>
      <c r="H1267" s="4">
        <v>21800</v>
      </c>
      <c r="I1267" s="4">
        <v>-21800</v>
      </c>
      <c r="J1267" s="5">
        <f t="shared" si="19"/>
        <v>0</v>
      </c>
    </row>
    <row r="1268" spans="1:10" x14ac:dyDescent="0.25">
      <c r="A1268" s="6">
        <v>1277</v>
      </c>
      <c r="B1268" t="s">
        <v>2322</v>
      </c>
      <c r="C1268" t="s">
        <v>1065</v>
      </c>
      <c r="D1268" t="s">
        <v>152</v>
      </c>
      <c r="E1268" t="str">
        <f>VLOOKUP(D1268,'Tên SP'!B$2:C$1070,2,0)</f>
        <v>NƯỚC GIẶT ON1 CHỐNG LEM MÀU FRESH SAKURA 3,5KG/T04 (TÚI)</v>
      </c>
      <c r="F1268" s="4">
        <v>1</v>
      </c>
      <c r="G1268">
        <v>1</v>
      </c>
      <c r="H1268" s="4">
        <v>1</v>
      </c>
      <c r="I1268" s="4">
        <v>0</v>
      </c>
      <c r="J1268" s="5">
        <f t="shared" si="19"/>
        <v>1</v>
      </c>
    </row>
    <row r="1269" spans="1:10" x14ac:dyDescent="0.25">
      <c r="A1269" s="6">
        <v>1278</v>
      </c>
      <c r="B1269" t="s">
        <v>2323</v>
      </c>
      <c r="C1269" t="s">
        <v>1066</v>
      </c>
      <c r="D1269" t="s">
        <v>152</v>
      </c>
      <c r="E1269" t="str">
        <f>VLOOKUP(D1269,'Tên SP'!B$2:C$1070,2,0)</f>
        <v>NƯỚC GIẶT ON1 CHỐNG LEM MÀU FRESH SAKURA 3,5KG/T04 (TÚI)</v>
      </c>
      <c r="F1269" s="4">
        <v>1</v>
      </c>
      <c r="G1269">
        <v>1</v>
      </c>
      <c r="H1269" s="4">
        <v>1</v>
      </c>
      <c r="I1269" s="4">
        <v>0</v>
      </c>
      <c r="J1269" s="5">
        <f t="shared" si="19"/>
        <v>1</v>
      </c>
    </row>
    <row r="1270" spans="1:10" x14ac:dyDescent="0.25">
      <c r="A1270" s="6">
        <v>1279</v>
      </c>
      <c r="B1270" t="s">
        <v>2324</v>
      </c>
      <c r="C1270" t="s">
        <v>1067</v>
      </c>
      <c r="D1270" t="s">
        <v>36</v>
      </c>
      <c r="E1270" t="str">
        <f>VLOOKUP(D1270,'Tên SP'!B$2:C$1070,2,0)</f>
        <v>BỘT GIẶT LIXE HƯƠNG NƯỚC HOA 7KG/02</v>
      </c>
      <c r="F1270" s="4">
        <v>155800</v>
      </c>
      <c r="G1270">
        <v>1</v>
      </c>
      <c r="H1270" s="4">
        <v>155800</v>
      </c>
      <c r="I1270" s="4">
        <v>-50000</v>
      </c>
      <c r="J1270" s="5">
        <f t="shared" si="19"/>
        <v>105800</v>
      </c>
    </row>
    <row r="1271" spans="1:10" x14ac:dyDescent="0.25">
      <c r="A1271" s="6">
        <v>1280</v>
      </c>
      <c r="B1271" t="s">
        <v>2325</v>
      </c>
      <c r="C1271" t="s">
        <v>1068</v>
      </c>
      <c r="D1271" t="s">
        <v>102</v>
      </c>
      <c r="E1271" t="str">
        <f>VLOOKUP(D1271,'Tên SP'!B$2:C$1070,2,0)</f>
        <v>NƯỚC GIẶT LIX HƯƠNG NƯỚC HOA 3,5KG/T04 TÚI</v>
      </c>
      <c r="F1271" s="4">
        <v>91400</v>
      </c>
      <c r="G1271">
        <v>1</v>
      </c>
      <c r="H1271" s="4">
        <v>91400</v>
      </c>
      <c r="I1271" s="4">
        <v>-3750</v>
      </c>
      <c r="J1271" s="5">
        <f t="shared" si="19"/>
        <v>87650</v>
      </c>
    </row>
    <row r="1272" spans="1:10" x14ac:dyDescent="0.25">
      <c r="A1272" s="6">
        <v>1281</v>
      </c>
      <c r="B1272" t="s">
        <v>2325</v>
      </c>
      <c r="C1272" t="s">
        <v>1068</v>
      </c>
      <c r="D1272" t="s">
        <v>102</v>
      </c>
      <c r="E1272" t="str">
        <f>VLOOKUP(D1272,'Tên SP'!B$2:C$1070,2,0)</f>
        <v>NƯỚC GIẶT LIX HƯƠNG NƯỚC HOA 3,5KG/T04 TÚI</v>
      </c>
      <c r="F1272" s="4">
        <v>91400</v>
      </c>
      <c r="G1272">
        <v>1</v>
      </c>
      <c r="H1272" s="4">
        <v>91400</v>
      </c>
      <c r="I1272" s="4">
        <v>-3750</v>
      </c>
      <c r="J1272" s="5">
        <f t="shared" si="19"/>
        <v>87650</v>
      </c>
    </row>
    <row r="1273" spans="1:10" x14ac:dyDescent="0.25">
      <c r="A1273" s="6">
        <v>1282</v>
      </c>
      <c r="B1273" t="s">
        <v>2325</v>
      </c>
      <c r="C1273" t="s">
        <v>1068</v>
      </c>
      <c r="D1273" t="s">
        <v>102</v>
      </c>
      <c r="E1273" t="str">
        <f>VLOOKUP(D1273,'Tên SP'!B$2:C$1070,2,0)</f>
        <v>NƯỚC GIẶT LIX HƯƠNG NƯỚC HOA 3,5KG/T04 TÚI</v>
      </c>
      <c r="F1273" s="4">
        <v>91400</v>
      </c>
      <c r="G1273">
        <v>1</v>
      </c>
      <c r="H1273" s="4">
        <v>91400</v>
      </c>
      <c r="I1273" s="4">
        <v>-3750</v>
      </c>
      <c r="J1273" s="5">
        <f t="shared" ref="J1273:J1334" si="20">H1273+I1273</f>
        <v>87650</v>
      </c>
    </row>
    <row r="1274" spans="1:10" x14ac:dyDescent="0.25">
      <c r="A1274" s="6">
        <v>1283</v>
      </c>
      <c r="B1274" t="s">
        <v>2325</v>
      </c>
      <c r="C1274" t="s">
        <v>1068</v>
      </c>
      <c r="D1274" t="s">
        <v>102</v>
      </c>
      <c r="E1274" t="str">
        <f>VLOOKUP(D1274,'Tên SP'!B$2:C$1070,2,0)</f>
        <v>NƯỚC GIẶT LIX HƯƠNG NƯỚC HOA 3,5KG/T04 TÚI</v>
      </c>
      <c r="F1274" s="4">
        <v>91400</v>
      </c>
      <c r="G1274">
        <v>1</v>
      </c>
      <c r="H1274" s="4">
        <v>91400</v>
      </c>
      <c r="I1274" s="4">
        <v>-3750</v>
      </c>
      <c r="J1274" s="5">
        <f t="shared" si="20"/>
        <v>87650</v>
      </c>
    </row>
    <row r="1275" spans="1:10" x14ac:dyDescent="0.25">
      <c r="A1275" s="6">
        <v>1284</v>
      </c>
      <c r="B1275" t="s">
        <v>2325</v>
      </c>
      <c r="C1275" t="s">
        <v>1068</v>
      </c>
      <c r="D1275" t="s">
        <v>184</v>
      </c>
      <c r="E1275" t="str">
        <f>VLOOKUP(D1275,'Tên SP'!B$2:C$1070,2,0)</f>
        <v>GEL DIỆT KHUẨN TAY ON1 60ML/CH80</v>
      </c>
      <c r="F1275" s="4">
        <v>21800</v>
      </c>
      <c r="G1275">
        <v>1</v>
      </c>
      <c r="H1275" s="4">
        <v>21800</v>
      </c>
      <c r="I1275" s="4">
        <v>-21800</v>
      </c>
      <c r="J1275" s="5">
        <f t="shared" si="20"/>
        <v>0</v>
      </c>
    </row>
    <row r="1276" spans="1:10" x14ac:dyDescent="0.25">
      <c r="A1276" s="6">
        <v>1285</v>
      </c>
      <c r="B1276" t="s">
        <v>2326</v>
      </c>
      <c r="C1276" t="s">
        <v>1069</v>
      </c>
      <c r="D1276" t="s">
        <v>9</v>
      </c>
      <c r="E1276" t="str">
        <f>VLOOKUP(D1276,'Tên SP'!B$2:C$1070,2,0)</f>
        <v>NƯỚC GIẶT LIX ĐẬM ĐẶC 3,5KG/T04 TÚI</v>
      </c>
      <c r="F1276" s="4">
        <v>88000</v>
      </c>
      <c r="G1276">
        <v>1</v>
      </c>
      <c r="H1276" s="4">
        <v>88000</v>
      </c>
      <c r="I1276" s="4">
        <v>0</v>
      </c>
      <c r="J1276" s="5">
        <f t="shared" si="20"/>
        <v>88000</v>
      </c>
    </row>
    <row r="1277" spans="1:10" x14ac:dyDescent="0.25">
      <c r="A1277" s="6">
        <v>1286</v>
      </c>
      <c r="B1277" t="s">
        <v>2327</v>
      </c>
      <c r="C1277" t="s">
        <v>1070</v>
      </c>
      <c r="D1277" t="s">
        <v>194</v>
      </c>
      <c r="E1277" t="str">
        <f>VLOOKUP(D1277,'Tên SP'!B$2:C$1070,2,0)</f>
        <v>GEL TẨY BỒN CẦU &amp; NHÀ TẮM ON1 500G/CH24</v>
      </c>
      <c r="F1277" s="4">
        <v>30500</v>
      </c>
      <c r="G1277">
        <v>1</v>
      </c>
      <c r="H1277" s="4">
        <v>30500</v>
      </c>
      <c r="I1277" s="4">
        <v>-1220</v>
      </c>
      <c r="J1277" s="5">
        <f t="shared" si="20"/>
        <v>29280</v>
      </c>
    </row>
    <row r="1278" spans="1:10" x14ac:dyDescent="0.25">
      <c r="A1278" s="6">
        <v>1287</v>
      </c>
      <c r="B1278" t="s">
        <v>2327</v>
      </c>
      <c r="C1278" t="s">
        <v>1070</v>
      </c>
      <c r="D1278" t="s">
        <v>152</v>
      </c>
      <c r="E1278" t="str">
        <f>VLOOKUP(D1278,'Tên SP'!B$2:C$1070,2,0)</f>
        <v>NƯỚC GIẶT ON1 CHỐNG LEM MÀU FRESH SAKURA 3,5KG/T04 (TÚI)</v>
      </c>
      <c r="F1278" s="4">
        <v>1</v>
      </c>
      <c r="G1278">
        <v>1</v>
      </c>
      <c r="H1278" s="4">
        <v>1</v>
      </c>
      <c r="I1278" s="4">
        <v>0</v>
      </c>
      <c r="J1278" s="5">
        <f t="shared" si="20"/>
        <v>1</v>
      </c>
    </row>
    <row r="1279" spans="1:10" x14ac:dyDescent="0.25">
      <c r="A1279" s="6">
        <v>1288</v>
      </c>
      <c r="B1279" t="s">
        <v>2328</v>
      </c>
      <c r="C1279" t="s">
        <v>1071</v>
      </c>
      <c r="D1279" t="s">
        <v>81</v>
      </c>
      <c r="E1279" t="str">
        <f>VLOOKUP(D1279,'Tên SP'!B$2:C$1070,2,0)</f>
        <v>NƯỚC RỬA CHÉN SIÊU SẠCH TRÀ 3,5KG/T04- TÚI</v>
      </c>
      <c r="F1279" s="4">
        <v>65300</v>
      </c>
      <c r="G1279">
        <v>1</v>
      </c>
      <c r="H1279" s="4">
        <v>65300</v>
      </c>
      <c r="I1279" s="4">
        <v>-9795</v>
      </c>
      <c r="J1279" s="5">
        <f t="shared" si="20"/>
        <v>55505</v>
      </c>
    </row>
    <row r="1280" spans="1:10" x14ac:dyDescent="0.25">
      <c r="A1280" s="6">
        <v>1289</v>
      </c>
      <c r="B1280" t="s">
        <v>2329</v>
      </c>
      <c r="C1280" t="s">
        <v>1072</v>
      </c>
      <c r="D1280" t="s">
        <v>23</v>
      </c>
      <c r="E1280" t="str">
        <f>VLOOKUP(D1280,'Tên SP'!B$2:C$1070,2,0)</f>
        <v>NƯỚC XẢ VẢI LIXSOFT 3,6L/C04</v>
      </c>
      <c r="F1280" s="4">
        <v>80100</v>
      </c>
      <c r="G1280">
        <v>1</v>
      </c>
      <c r="H1280" s="4">
        <v>80100</v>
      </c>
      <c r="I1280" s="4">
        <v>0</v>
      </c>
      <c r="J1280" s="5">
        <f t="shared" si="20"/>
        <v>80100</v>
      </c>
    </row>
    <row r="1281" spans="1:10" x14ac:dyDescent="0.25">
      <c r="A1281" s="6">
        <v>1290</v>
      </c>
      <c r="B1281" t="s">
        <v>2330</v>
      </c>
      <c r="C1281" t="s">
        <v>1073</v>
      </c>
      <c r="D1281" t="s">
        <v>9</v>
      </c>
      <c r="E1281" t="str">
        <f>VLOOKUP(D1281,'Tên SP'!B$2:C$1070,2,0)</f>
        <v>NƯỚC GIẶT LIX ĐẬM ĐẶC 3,5KG/T04 TÚI</v>
      </c>
      <c r="F1281" s="4">
        <v>88000</v>
      </c>
      <c r="G1281">
        <v>1</v>
      </c>
      <c r="H1281" s="4">
        <v>88000</v>
      </c>
      <c r="I1281" s="4">
        <v>0</v>
      </c>
      <c r="J1281" s="5">
        <f t="shared" si="20"/>
        <v>88000</v>
      </c>
    </row>
    <row r="1282" spans="1:10" x14ac:dyDescent="0.25">
      <c r="A1282" s="6">
        <v>1291</v>
      </c>
      <c r="B1282" t="s">
        <v>2331</v>
      </c>
      <c r="C1282" t="s">
        <v>1074</v>
      </c>
      <c r="D1282" t="s">
        <v>9</v>
      </c>
      <c r="E1282" t="str">
        <f>VLOOKUP(D1282,'Tên SP'!B$2:C$1070,2,0)</f>
        <v>NƯỚC GIẶT LIX ĐẬM ĐẶC 3,5KG/T04 TÚI</v>
      </c>
      <c r="F1282" s="4">
        <v>88000</v>
      </c>
      <c r="G1282">
        <v>1</v>
      </c>
      <c r="H1282" s="4">
        <v>88000</v>
      </c>
      <c r="I1282" s="4">
        <v>-3750</v>
      </c>
      <c r="J1282" s="5">
        <f t="shared" si="20"/>
        <v>84250</v>
      </c>
    </row>
    <row r="1283" spans="1:10" x14ac:dyDescent="0.25">
      <c r="A1283" s="6">
        <v>1292</v>
      </c>
      <c r="B1283" t="s">
        <v>2331</v>
      </c>
      <c r="C1283" t="s">
        <v>1074</v>
      </c>
      <c r="D1283" t="s">
        <v>9</v>
      </c>
      <c r="E1283" t="str">
        <f>VLOOKUP(D1283,'Tên SP'!B$2:C$1070,2,0)</f>
        <v>NƯỚC GIẶT LIX ĐẬM ĐẶC 3,5KG/T04 TÚI</v>
      </c>
      <c r="F1283" s="4">
        <v>88000</v>
      </c>
      <c r="G1283">
        <v>1</v>
      </c>
      <c r="H1283" s="4">
        <v>88000</v>
      </c>
      <c r="I1283" s="4">
        <v>-3750</v>
      </c>
      <c r="J1283" s="5">
        <f t="shared" si="20"/>
        <v>84250</v>
      </c>
    </row>
    <row r="1284" spans="1:10" x14ac:dyDescent="0.25">
      <c r="A1284" s="6">
        <v>1293</v>
      </c>
      <c r="B1284" t="s">
        <v>2331</v>
      </c>
      <c r="C1284" t="s">
        <v>1074</v>
      </c>
      <c r="D1284" t="s">
        <v>9</v>
      </c>
      <c r="E1284" t="str">
        <f>VLOOKUP(D1284,'Tên SP'!B$2:C$1070,2,0)</f>
        <v>NƯỚC GIẶT LIX ĐẬM ĐẶC 3,5KG/T04 TÚI</v>
      </c>
      <c r="F1284" s="4">
        <v>88000</v>
      </c>
      <c r="G1284">
        <v>1</v>
      </c>
      <c r="H1284" s="4">
        <v>88000</v>
      </c>
      <c r="I1284" s="4">
        <v>-3750</v>
      </c>
      <c r="J1284" s="5">
        <f t="shared" si="20"/>
        <v>84250</v>
      </c>
    </row>
    <row r="1285" spans="1:10" x14ac:dyDescent="0.25">
      <c r="A1285" s="6">
        <v>1294</v>
      </c>
      <c r="B1285" t="s">
        <v>2331</v>
      </c>
      <c r="C1285" t="s">
        <v>1074</v>
      </c>
      <c r="D1285" t="s">
        <v>9</v>
      </c>
      <c r="E1285" t="str">
        <f>VLOOKUP(D1285,'Tên SP'!B$2:C$1070,2,0)</f>
        <v>NƯỚC GIẶT LIX ĐẬM ĐẶC 3,5KG/T04 TÚI</v>
      </c>
      <c r="F1285" s="4">
        <v>88000</v>
      </c>
      <c r="G1285">
        <v>1</v>
      </c>
      <c r="H1285" s="4">
        <v>88000</v>
      </c>
      <c r="I1285" s="4">
        <v>-3750</v>
      </c>
      <c r="J1285" s="5">
        <f t="shared" si="20"/>
        <v>84250</v>
      </c>
    </row>
    <row r="1286" spans="1:10" x14ac:dyDescent="0.25">
      <c r="A1286" s="6">
        <v>1295</v>
      </c>
      <c r="B1286" t="s">
        <v>2331</v>
      </c>
      <c r="C1286" t="s">
        <v>1074</v>
      </c>
      <c r="D1286" t="s">
        <v>184</v>
      </c>
      <c r="E1286" t="str">
        <f>VLOOKUP(D1286,'Tên SP'!B$2:C$1070,2,0)</f>
        <v>GEL DIỆT KHUẨN TAY ON1 60ML/CH80</v>
      </c>
      <c r="F1286" s="4">
        <v>21800</v>
      </c>
      <c r="G1286">
        <v>1</v>
      </c>
      <c r="H1286" s="4">
        <v>21800</v>
      </c>
      <c r="I1286" s="4">
        <v>-21800</v>
      </c>
      <c r="J1286" s="5">
        <f t="shared" si="20"/>
        <v>0</v>
      </c>
    </row>
    <row r="1287" spans="1:10" x14ac:dyDescent="0.25">
      <c r="A1287" s="6">
        <v>1296</v>
      </c>
      <c r="B1287" t="s">
        <v>2332</v>
      </c>
      <c r="C1287" t="s">
        <v>1075</v>
      </c>
      <c r="D1287" t="s">
        <v>49</v>
      </c>
      <c r="E1287" t="str">
        <f>VLOOKUP(D1287,'Tên SP'!B$2:C$1070,2,0)</f>
        <v>BỘT GIẶT LIXE CHANH 550G/20</v>
      </c>
      <c r="F1287" s="4">
        <v>20100</v>
      </c>
      <c r="G1287">
        <v>1</v>
      </c>
      <c r="H1287" s="4">
        <v>20100</v>
      </c>
      <c r="I1287" s="4">
        <v>-3508</v>
      </c>
      <c r="J1287" s="5">
        <f t="shared" si="20"/>
        <v>16592</v>
      </c>
    </row>
    <row r="1288" spans="1:10" x14ac:dyDescent="0.25">
      <c r="A1288" s="6">
        <v>1297</v>
      </c>
      <c r="B1288" t="s">
        <v>2332</v>
      </c>
      <c r="C1288" t="s">
        <v>1075</v>
      </c>
      <c r="D1288" t="s">
        <v>102</v>
      </c>
      <c r="E1288" t="str">
        <f>VLOOKUP(D1288,'Tên SP'!B$2:C$1070,2,0)</f>
        <v>NƯỚC GIẶT LIX HƯƠNG NƯỚC HOA 3,5KG/T04 TÚI</v>
      </c>
      <c r="F1288" s="4">
        <v>91400</v>
      </c>
      <c r="G1288">
        <v>1</v>
      </c>
      <c r="H1288" s="4">
        <v>91400</v>
      </c>
      <c r="I1288" s="4">
        <v>-15952</v>
      </c>
      <c r="J1288" s="5">
        <f t="shared" si="20"/>
        <v>75448</v>
      </c>
    </row>
    <row r="1289" spans="1:10" x14ac:dyDescent="0.25">
      <c r="A1289" s="6">
        <v>1298</v>
      </c>
      <c r="B1289" t="s">
        <v>2333</v>
      </c>
      <c r="C1289" t="s">
        <v>1076</v>
      </c>
      <c r="D1289" t="s">
        <v>126</v>
      </c>
      <c r="E1289" t="str">
        <f>VLOOKUP(D1289,'Tên SP'!B$2:C$1070,2,0)</f>
        <v>NƯỚC RỬA CHÉN ON1 CHANH SẢ 1,5KG/C08</v>
      </c>
      <c r="F1289" s="4">
        <v>45000</v>
      </c>
      <c r="G1289">
        <v>1</v>
      </c>
      <c r="H1289" s="4">
        <v>45000</v>
      </c>
      <c r="I1289" s="4">
        <v>-6750</v>
      </c>
      <c r="J1289" s="5">
        <f t="shared" si="20"/>
        <v>38250</v>
      </c>
    </row>
    <row r="1290" spans="1:10" x14ac:dyDescent="0.25">
      <c r="A1290" s="6">
        <v>1299</v>
      </c>
      <c r="B1290" t="s">
        <v>2334</v>
      </c>
      <c r="C1290" t="s">
        <v>1077</v>
      </c>
      <c r="D1290" t="s">
        <v>9</v>
      </c>
      <c r="E1290" t="str">
        <f>VLOOKUP(D1290,'Tên SP'!B$2:C$1070,2,0)</f>
        <v>NƯỚC GIẶT LIX ĐẬM ĐẶC 3,5KG/T04 TÚI</v>
      </c>
      <c r="F1290" s="4">
        <v>88000</v>
      </c>
      <c r="G1290">
        <v>1</v>
      </c>
      <c r="H1290" s="4">
        <v>88000</v>
      </c>
      <c r="I1290" s="4">
        <v>-12131</v>
      </c>
      <c r="J1290" s="5">
        <f t="shared" si="20"/>
        <v>75869</v>
      </c>
    </row>
    <row r="1291" spans="1:10" x14ac:dyDescent="0.25">
      <c r="A1291" s="6">
        <v>1300</v>
      </c>
      <c r="B1291" t="s">
        <v>2334</v>
      </c>
      <c r="C1291" t="s">
        <v>1077</v>
      </c>
      <c r="D1291" t="s">
        <v>106</v>
      </c>
      <c r="E1291" t="str">
        <f>VLOOKUP(D1291,'Tên SP'!B$2:C$1070,2,0)</f>
        <v>NƯỚC GIẶT LIX SIÊU SẠCH HOA ANH ĐÀO 2.4KG/T06</v>
      </c>
      <c r="F1291" s="4">
        <v>65300</v>
      </c>
      <c r="G1291">
        <v>1</v>
      </c>
      <c r="H1291" s="4">
        <v>65300</v>
      </c>
      <c r="I1291" s="4">
        <v>-9001</v>
      </c>
      <c r="J1291" s="5">
        <f t="shared" si="20"/>
        <v>56299</v>
      </c>
    </row>
    <row r="1292" spans="1:10" x14ac:dyDescent="0.25">
      <c r="A1292" s="6">
        <v>1301</v>
      </c>
      <c r="B1292" t="s">
        <v>2335</v>
      </c>
      <c r="C1292" t="s">
        <v>1078</v>
      </c>
      <c r="D1292" t="s">
        <v>28</v>
      </c>
      <c r="E1292" t="str">
        <f>VLOOKUP(D1292,'Tên SP'!B$2:C$1070,2,0)</f>
        <v>NƯỚC XẢ VẢI LIXSOFT HƯƠNG HOA HỒNG 3,6L/C04</v>
      </c>
      <c r="F1292" s="4">
        <v>80100</v>
      </c>
      <c r="G1292">
        <v>1</v>
      </c>
      <c r="H1292" s="4">
        <v>80100</v>
      </c>
      <c r="I1292" s="4">
        <v>0</v>
      </c>
      <c r="J1292" s="5">
        <f t="shared" si="20"/>
        <v>80100</v>
      </c>
    </row>
    <row r="1293" spans="1:10" x14ac:dyDescent="0.25">
      <c r="A1293" s="6">
        <v>1302</v>
      </c>
      <c r="B1293" t="s">
        <v>2336</v>
      </c>
      <c r="C1293" t="s">
        <v>1079</v>
      </c>
      <c r="D1293" t="s">
        <v>152</v>
      </c>
      <c r="E1293" t="str">
        <f>VLOOKUP(D1293,'Tên SP'!B$2:C$1070,2,0)</f>
        <v>NƯỚC GIẶT ON1 CHỐNG LEM MÀU FRESH SAKURA 3,5KG/T04 (TÚI)</v>
      </c>
      <c r="F1293" s="4">
        <v>1</v>
      </c>
      <c r="G1293">
        <v>1</v>
      </c>
      <c r="H1293" s="4">
        <v>1</v>
      </c>
      <c r="I1293" s="4">
        <v>0</v>
      </c>
      <c r="J1293" s="5">
        <f t="shared" si="20"/>
        <v>1</v>
      </c>
    </row>
    <row r="1294" spans="1:10" x14ac:dyDescent="0.25">
      <c r="A1294" s="6">
        <v>1303</v>
      </c>
      <c r="B1294" t="s">
        <v>2337</v>
      </c>
      <c r="C1294" t="s">
        <v>1080</v>
      </c>
      <c r="D1294" t="s">
        <v>152</v>
      </c>
      <c r="E1294" t="str">
        <f>VLOOKUP(D1294,'Tên SP'!B$2:C$1070,2,0)</f>
        <v>NƯỚC GIẶT ON1 CHỐNG LEM MÀU FRESH SAKURA 3,5KG/T04 (TÚI)</v>
      </c>
      <c r="F1294" s="4">
        <v>1</v>
      </c>
      <c r="G1294">
        <v>1</v>
      </c>
      <c r="H1294" s="4">
        <v>1</v>
      </c>
      <c r="I1294" s="4">
        <v>0</v>
      </c>
      <c r="J1294" s="5">
        <f t="shared" si="20"/>
        <v>1</v>
      </c>
    </row>
    <row r="1295" spans="1:10" x14ac:dyDescent="0.25">
      <c r="A1295" s="6">
        <v>1304</v>
      </c>
      <c r="B1295" t="s">
        <v>2338</v>
      </c>
      <c r="C1295" t="s">
        <v>1081</v>
      </c>
      <c r="D1295" t="s">
        <v>152</v>
      </c>
      <c r="E1295" t="str">
        <f>VLOOKUP(D1295,'Tên SP'!B$2:C$1070,2,0)</f>
        <v>NƯỚC GIẶT ON1 CHỐNG LEM MÀU FRESH SAKURA 3,5KG/T04 (TÚI)</v>
      </c>
      <c r="F1295" s="4">
        <v>1</v>
      </c>
      <c r="G1295">
        <v>1</v>
      </c>
      <c r="H1295" s="4">
        <v>1</v>
      </c>
      <c r="I1295" s="4">
        <v>0</v>
      </c>
      <c r="J1295" s="5">
        <f t="shared" si="20"/>
        <v>1</v>
      </c>
    </row>
    <row r="1296" spans="1:10" x14ac:dyDescent="0.25">
      <c r="A1296" s="6">
        <v>1305</v>
      </c>
      <c r="B1296" t="s">
        <v>2338</v>
      </c>
      <c r="C1296" t="s">
        <v>1081</v>
      </c>
      <c r="D1296" t="s">
        <v>142</v>
      </c>
      <c r="E1296" t="str">
        <f>VLOOKUP(D1296,'Tên SP'!B$2:C$1070,2,0)</f>
        <v>NƯỚC RỬA CHÉN ON1 TINH DẦU GỪNG CAM 500G/CH20</v>
      </c>
      <c r="F1296" s="4">
        <v>34000</v>
      </c>
      <c r="G1296">
        <v>1</v>
      </c>
      <c r="H1296" s="4">
        <v>34000</v>
      </c>
      <c r="I1296" s="4">
        <v>-1360</v>
      </c>
      <c r="J1296" s="5">
        <f t="shared" si="20"/>
        <v>32640</v>
      </c>
    </row>
    <row r="1297" spans="1:10" x14ac:dyDescent="0.25">
      <c r="A1297" s="6">
        <v>1306</v>
      </c>
      <c r="B1297" t="s">
        <v>2339</v>
      </c>
      <c r="C1297" t="s">
        <v>1082</v>
      </c>
      <c r="D1297" t="s">
        <v>152</v>
      </c>
      <c r="E1297" t="str">
        <f>VLOOKUP(D1297,'Tên SP'!B$2:C$1070,2,0)</f>
        <v>NƯỚC GIẶT ON1 CHỐNG LEM MÀU FRESH SAKURA 3,5KG/T04 (TÚI)</v>
      </c>
      <c r="F1297" s="4">
        <v>1</v>
      </c>
      <c r="G1297">
        <v>1</v>
      </c>
      <c r="H1297" s="4">
        <v>1</v>
      </c>
      <c r="I1297" s="4">
        <v>0</v>
      </c>
      <c r="J1297" s="5">
        <f t="shared" si="20"/>
        <v>1</v>
      </c>
    </row>
    <row r="1298" spans="1:10" x14ac:dyDescent="0.25">
      <c r="A1298" s="6">
        <v>1307</v>
      </c>
      <c r="B1298" t="s">
        <v>2340</v>
      </c>
      <c r="C1298" t="s">
        <v>1083</v>
      </c>
      <c r="D1298" t="s">
        <v>9</v>
      </c>
      <c r="E1298" t="str">
        <f>VLOOKUP(D1298,'Tên SP'!B$2:C$1070,2,0)</f>
        <v>NƯỚC GIẶT LIX ĐẬM ĐẶC 3,5KG/T04 TÚI</v>
      </c>
      <c r="F1298" s="4">
        <v>88000</v>
      </c>
      <c r="G1298">
        <v>1</v>
      </c>
      <c r="H1298" s="4">
        <v>88000</v>
      </c>
      <c r="I1298" s="4">
        <v>-13200</v>
      </c>
      <c r="J1298" s="5">
        <f t="shared" si="20"/>
        <v>74800</v>
      </c>
    </row>
    <row r="1299" spans="1:10" x14ac:dyDescent="0.25">
      <c r="A1299" s="6">
        <v>1308</v>
      </c>
      <c r="B1299" t="s">
        <v>2341</v>
      </c>
      <c r="C1299" t="s">
        <v>1084</v>
      </c>
      <c r="D1299" t="s">
        <v>102</v>
      </c>
      <c r="E1299" t="str">
        <f>VLOOKUP(D1299,'Tên SP'!B$2:C$1070,2,0)</f>
        <v>NƯỚC GIẶT LIX HƯƠNG NƯỚC HOA 3,5KG/T04 TÚI</v>
      </c>
      <c r="F1299" s="4">
        <v>88000</v>
      </c>
      <c r="G1299">
        <v>1</v>
      </c>
      <c r="H1299" s="4">
        <v>88000</v>
      </c>
      <c r="I1299" s="4">
        <v>-13200</v>
      </c>
      <c r="J1299" s="5">
        <f t="shared" si="20"/>
        <v>74800</v>
      </c>
    </row>
    <row r="1300" spans="1:10" x14ac:dyDescent="0.25">
      <c r="A1300" s="6">
        <v>1309</v>
      </c>
      <c r="B1300" t="s">
        <v>2342</v>
      </c>
      <c r="C1300" t="s">
        <v>1085</v>
      </c>
      <c r="D1300" t="s">
        <v>9</v>
      </c>
      <c r="E1300" t="str">
        <f>VLOOKUP(D1300,'Tên SP'!B$2:C$1070,2,0)</f>
        <v>NƯỚC GIẶT LIX ĐẬM ĐẶC 3,5KG/T04 TÚI</v>
      </c>
      <c r="F1300" s="4">
        <v>88000</v>
      </c>
      <c r="G1300">
        <v>1</v>
      </c>
      <c r="H1300" s="4">
        <v>88000</v>
      </c>
      <c r="I1300" s="4">
        <v>-3520</v>
      </c>
      <c r="J1300" s="5">
        <f t="shared" si="20"/>
        <v>84480</v>
      </c>
    </row>
    <row r="1301" spans="1:10" x14ac:dyDescent="0.25">
      <c r="A1301" s="6">
        <v>1310</v>
      </c>
      <c r="B1301" t="s">
        <v>2342</v>
      </c>
      <c r="C1301" t="s">
        <v>1085</v>
      </c>
      <c r="D1301" t="s">
        <v>9</v>
      </c>
      <c r="E1301" t="str">
        <f>VLOOKUP(D1301,'Tên SP'!B$2:C$1070,2,0)</f>
        <v>NƯỚC GIẶT LIX ĐẬM ĐẶC 3,5KG/T04 TÚI</v>
      </c>
      <c r="F1301" s="4">
        <v>88000</v>
      </c>
      <c r="G1301">
        <v>1</v>
      </c>
      <c r="H1301" s="4">
        <v>88000</v>
      </c>
      <c r="I1301" s="4">
        <v>-3520</v>
      </c>
      <c r="J1301" s="5">
        <f t="shared" si="20"/>
        <v>84480</v>
      </c>
    </row>
    <row r="1302" spans="1:10" x14ac:dyDescent="0.25">
      <c r="A1302" s="6">
        <v>1311</v>
      </c>
      <c r="B1302" t="s">
        <v>2343</v>
      </c>
      <c r="C1302" t="s">
        <v>1086</v>
      </c>
      <c r="D1302" t="s">
        <v>42</v>
      </c>
      <c r="E1302" t="str">
        <f>VLOOKUP(D1302,'Tên SP'!B$2:C$1070,2,0)</f>
        <v>BỘT GIẶT LIXE HƯƠNG NƯỚC HOA 2,4KG/05</v>
      </c>
      <c r="F1302" s="4">
        <v>59200</v>
      </c>
      <c r="G1302">
        <v>1</v>
      </c>
      <c r="H1302" s="4">
        <v>59200</v>
      </c>
      <c r="I1302" s="4">
        <v>0</v>
      </c>
      <c r="J1302" s="5">
        <f t="shared" si="20"/>
        <v>59200</v>
      </c>
    </row>
    <row r="1303" spans="1:10" x14ac:dyDescent="0.25">
      <c r="A1303" s="6">
        <v>1312</v>
      </c>
      <c r="B1303" t="s">
        <v>2344</v>
      </c>
      <c r="C1303" t="s">
        <v>1087</v>
      </c>
      <c r="D1303" t="s">
        <v>102</v>
      </c>
      <c r="E1303" t="str">
        <f>VLOOKUP(D1303,'Tên SP'!B$2:C$1070,2,0)</f>
        <v>NƯỚC GIẶT LIX HƯƠNG NƯỚC HOA 3,5KG/T04 TÚI</v>
      </c>
      <c r="F1303" s="4">
        <v>88000</v>
      </c>
      <c r="G1303">
        <v>1</v>
      </c>
      <c r="H1303" s="4">
        <v>88000</v>
      </c>
      <c r="I1303" s="4">
        <v>-13200</v>
      </c>
      <c r="J1303" s="5">
        <f t="shared" si="20"/>
        <v>74800</v>
      </c>
    </row>
    <row r="1304" spans="1:10" x14ac:dyDescent="0.25">
      <c r="A1304" s="6">
        <v>1313</v>
      </c>
      <c r="B1304" t="s">
        <v>2345</v>
      </c>
      <c r="C1304" t="s">
        <v>1088</v>
      </c>
      <c r="D1304" t="s">
        <v>42</v>
      </c>
      <c r="E1304" t="str">
        <f>VLOOKUP(D1304,'Tên SP'!B$2:C$1070,2,0)</f>
        <v>BỘT GIẶT LIXE HƯƠNG NƯỚC HOA 2,4KG/05</v>
      </c>
      <c r="F1304" s="4">
        <v>59200</v>
      </c>
      <c r="G1304">
        <v>1</v>
      </c>
      <c r="H1304" s="4">
        <v>59200</v>
      </c>
      <c r="I1304" s="4">
        <v>0</v>
      </c>
      <c r="J1304" s="5">
        <f t="shared" si="20"/>
        <v>59200</v>
      </c>
    </row>
    <row r="1305" spans="1:10" x14ac:dyDescent="0.25">
      <c r="A1305" s="6">
        <v>1314</v>
      </c>
      <c r="B1305" t="s">
        <v>2346</v>
      </c>
      <c r="C1305" t="s">
        <v>1089</v>
      </c>
      <c r="D1305" t="s">
        <v>28</v>
      </c>
      <c r="E1305" t="str">
        <f>VLOOKUP(D1305,'Tên SP'!B$2:C$1070,2,0)</f>
        <v>NƯỚC XẢ VẢI LIXSOFT HƯƠNG HOA HỒNG 3,6L/C04</v>
      </c>
      <c r="F1305" s="4">
        <v>80100</v>
      </c>
      <c r="G1305">
        <v>1</v>
      </c>
      <c r="H1305" s="4">
        <v>80100</v>
      </c>
      <c r="I1305" s="4">
        <v>0</v>
      </c>
      <c r="J1305" s="5">
        <f t="shared" si="20"/>
        <v>80100</v>
      </c>
    </row>
    <row r="1306" spans="1:10" x14ac:dyDescent="0.25">
      <c r="A1306" s="6">
        <v>1315</v>
      </c>
      <c r="B1306" t="s">
        <v>2347</v>
      </c>
      <c r="C1306" t="s">
        <v>1090</v>
      </c>
      <c r="D1306" t="s">
        <v>79</v>
      </c>
      <c r="E1306" t="str">
        <f>VLOOKUP(D1306,'Tên SP'!B$2:C$1070,2,0)</f>
        <v>NƯỚC RỬA CHÉN SIÊU SẠCH CHANH 750G/CH12</v>
      </c>
      <c r="F1306" s="4">
        <v>16600</v>
      </c>
      <c r="G1306">
        <v>1</v>
      </c>
      <c r="H1306" s="4">
        <v>16600</v>
      </c>
      <c r="I1306" s="4">
        <v>-3044</v>
      </c>
      <c r="J1306" s="5">
        <f t="shared" si="20"/>
        <v>13556</v>
      </c>
    </row>
    <row r="1307" spans="1:10" x14ac:dyDescent="0.25">
      <c r="A1307" s="6">
        <v>1316</v>
      </c>
      <c r="B1307" t="s">
        <v>2347</v>
      </c>
      <c r="C1307" t="s">
        <v>1090</v>
      </c>
      <c r="D1307" t="s">
        <v>102</v>
      </c>
      <c r="E1307" t="str">
        <f>VLOOKUP(D1307,'Tên SP'!B$2:C$1070,2,0)</f>
        <v>NƯỚC GIẶT LIX HƯƠNG NƯỚC HOA 3,5KG/T04 TÚI</v>
      </c>
      <c r="F1307" s="4">
        <v>88000</v>
      </c>
      <c r="G1307">
        <v>1</v>
      </c>
      <c r="H1307" s="4">
        <v>88000</v>
      </c>
      <c r="I1307" s="4">
        <v>-16140</v>
      </c>
      <c r="J1307" s="5">
        <f t="shared" si="20"/>
        <v>71860</v>
      </c>
    </row>
    <row r="1308" spans="1:10" x14ac:dyDescent="0.25">
      <c r="A1308" s="6">
        <v>1317</v>
      </c>
      <c r="B1308" t="s">
        <v>2348</v>
      </c>
      <c r="C1308" t="s">
        <v>1091</v>
      </c>
      <c r="D1308" t="s">
        <v>9</v>
      </c>
      <c r="E1308" t="str">
        <f>VLOOKUP(D1308,'Tên SP'!B$2:C$1070,2,0)</f>
        <v>NƯỚC GIẶT LIX ĐẬM ĐẶC 3,5KG/T04 TÚI</v>
      </c>
      <c r="F1308" s="4">
        <v>88000</v>
      </c>
      <c r="G1308">
        <v>1</v>
      </c>
      <c r="H1308" s="4">
        <v>88000</v>
      </c>
      <c r="I1308" s="4">
        <v>-13200</v>
      </c>
      <c r="J1308" s="5">
        <f t="shared" si="20"/>
        <v>74800</v>
      </c>
    </row>
    <row r="1309" spans="1:10" x14ac:dyDescent="0.25">
      <c r="A1309" s="6">
        <v>1318</v>
      </c>
      <c r="B1309" t="s">
        <v>2348</v>
      </c>
      <c r="C1309" t="s">
        <v>1092</v>
      </c>
      <c r="D1309" t="s">
        <v>102</v>
      </c>
      <c r="E1309" t="str">
        <f>VLOOKUP(D1309,'Tên SP'!B$2:C$1070,2,0)</f>
        <v>NƯỚC GIẶT LIX HƯƠNG NƯỚC HOA 3,5KG/T04 TÚI</v>
      </c>
      <c r="F1309" s="4">
        <v>88000</v>
      </c>
      <c r="G1309">
        <v>1</v>
      </c>
      <c r="H1309" s="4">
        <v>88000</v>
      </c>
      <c r="I1309" s="4">
        <v>-13200</v>
      </c>
      <c r="J1309" s="5">
        <f t="shared" si="20"/>
        <v>74800</v>
      </c>
    </row>
    <row r="1310" spans="1:10" x14ac:dyDescent="0.25">
      <c r="A1310" s="6">
        <v>1319</v>
      </c>
      <c r="B1310" t="s">
        <v>2349</v>
      </c>
      <c r="C1310" t="s">
        <v>1093</v>
      </c>
      <c r="D1310" t="s">
        <v>9</v>
      </c>
      <c r="E1310" t="str">
        <f>VLOOKUP(D1310,'Tên SP'!B$2:C$1070,2,0)</f>
        <v>NƯỚC GIẶT LIX ĐẬM ĐẶC 3,5KG/T04 TÚI</v>
      </c>
      <c r="F1310" s="4">
        <v>88000</v>
      </c>
      <c r="G1310">
        <v>1</v>
      </c>
      <c r="H1310" s="4">
        <v>88000</v>
      </c>
      <c r="I1310" s="4">
        <v>-13200</v>
      </c>
      <c r="J1310" s="5">
        <f t="shared" si="20"/>
        <v>74800</v>
      </c>
    </row>
    <row r="1311" spans="1:10" x14ac:dyDescent="0.25">
      <c r="A1311" s="6">
        <v>1320</v>
      </c>
      <c r="B1311" t="s">
        <v>2350</v>
      </c>
      <c r="C1311" t="s">
        <v>1094</v>
      </c>
      <c r="D1311" t="s">
        <v>9</v>
      </c>
      <c r="E1311" t="str">
        <f>VLOOKUP(D1311,'Tên SP'!B$2:C$1070,2,0)</f>
        <v>NƯỚC GIẶT LIX ĐẬM ĐẶC 3,5KG/T04 TÚI</v>
      </c>
      <c r="F1311" s="4">
        <v>88000</v>
      </c>
      <c r="G1311">
        <v>1</v>
      </c>
      <c r="H1311" s="4">
        <v>88000</v>
      </c>
      <c r="I1311" s="4">
        <v>-13200</v>
      </c>
      <c r="J1311" s="5">
        <f t="shared" si="20"/>
        <v>74800</v>
      </c>
    </row>
    <row r="1312" spans="1:10" x14ac:dyDescent="0.25">
      <c r="A1312" s="6">
        <v>1321</v>
      </c>
      <c r="B1312" t="s">
        <v>2351</v>
      </c>
      <c r="C1312" t="s">
        <v>1095</v>
      </c>
      <c r="D1312" t="s">
        <v>198</v>
      </c>
      <c r="E1312" t="str">
        <f>VLOOKUP(D1312,'Tên SP'!B$2:C$1070,2,0)</f>
        <v>NƯỚC LAU BẾP ON1 500ML/CH20</v>
      </c>
      <c r="F1312" s="4">
        <v>39150</v>
      </c>
      <c r="G1312">
        <v>1</v>
      </c>
      <c r="H1312" s="4">
        <v>39150</v>
      </c>
      <c r="I1312" s="4">
        <v>-3480</v>
      </c>
      <c r="J1312" s="5">
        <f t="shared" si="20"/>
        <v>35670</v>
      </c>
    </row>
    <row r="1313" spans="1:10" x14ac:dyDescent="0.25">
      <c r="A1313" s="6">
        <v>1322</v>
      </c>
      <c r="B1313" t="s">
        <v>2351</v>
      </c>
      <c r="C1313" t="s">
        <v>1095</v>
      </c>
      <c r="D1313" t="s">
        <v>9</v>
      </c>
      <c r="E1313" t="str">
        <f>VLOOKUP(D1313,'Tên SP'!B$2:C$1070,2,0)</f>
        <v>NƯỚC GIẶT LIX ĐẬM ĐẶC 3,5KG/T04 TÚI</v>
      </c>
      <c r="F1313" s="4">
        <v>88000</v>
      </c>
      <c r="G1313">
        <v>1</v>
      </c>
      <c r="H1313" s="4">
        <v>88000</v>
      </c>
      <c r="I1313" s="4">
        <v>-7821</v>
      </c>
      <c r="J1313" s="5">
        <f t="shared" si="20"/>
        <v>80179</v>
      </c>
    </row>
    <row r="1314" spans="1:10" x14ac:dyDescent="0.25">
      <c r="A1314" s="6">
        <v>1323</v>
      </c>
      <c r="B1314" t="s">
        <v>2351</v>
      </c>
      <c r="C1314" t="s">
        <v>1095</v>
      </c>
      <c r="D1314" t="s">
        <v>9</v>
      </c>
      <c r="E1314" t="str">
        <f>VLOOKUP(D1314,'Tên SP'!B$2:C$1070,2,0)</f>
        <v>NƯỚC GIẶT LIX ĐẬM ĐẶC 3,5KG/T04 TÚI</v>
      </c>
      <c r="F1314" s="4">
        <v>88000</v>
      </c>
      <c r="G1314">
        <v>1</v>
      </c>
      <c r="H1314" s="4">
        <v>88000</v>
      </c>
      <c r="I1314" s="4">
        <v>-7822</v>
      </c>
      <c r="J1314" s="5">
        <f t="shared" si="20"/>
        <v>80178</v>
      </c>
    </row>
    <row r="1315" spans="1:10" x14ac:dyDescent="0.25">
      <c r="A1315" s="6">
        <v>1324</v>
      </c>
      <c r="B1315" t="s">
        <v>2351</v>
      </c>
      <c r="C1315" t="s">
        <v>1095</v>
      </c>
      <c r="D1315" t="s">
        <v>9</v>
      </c>
      <c r="E1315" t="str">
        <f>VLOOKUP(D1315,'Tên SP'!B$2:C$1070,2,0)</f>
        <v>NƯỚC GIẶT LIX ĐẬM ĐẶC 3,5KG/T04 TÚI</v>
      </c>
      <c r="F1315" s="4">
        <v>88000</v>
      </c>
      <c r="G1315">
        <v>1</v>
      </c>
      <c r="H1315" s="4">
        <v>88000</v>
      </c>
      <c r="I1315" s="4">
        <v>-7821</v>
      </c>
      <c r="J1315" s="5">
        <f t="shared" si="20"/>
        <v>80179</v>
      </c>
    </row>
    <row r="1316" spans="1:10" x14ac:dyDescent="0.25">
      <c r="A1316" s="6">
        <v>1327</v>
      </c>
      <c r="B1316" t="s">
        <v>2351</v>
      </c>
      <c r="C1316" t="s">
        <v>1095</v>
      </c>
      <c r="D1316" t="s">
        <v>184</v>
      </c>
      <c r="E1316" t="str">
        <f>VLOOKUP(D1316,'Tên SP'!B$2:C$1070,2,0)</f>
        <v>GEL DIỆT KHUẨN TAY ON1 60ML/CH80</v>
      </c>
      <c r="F1316" s="4">
        <v>21800</v>
      </c>
      <c r="G1316">
        <v>1</v>
      </c>
      <c r="H1316" s="4">
        <v>21800</v>
      </c>
      <c r="I1316" s="4">
        <v>-21800</v>
      </c>
      <c r="J1316" s="5">
        <f t="shared" si="20"/>
        <v>0</v>
      </c>
    </row>
    <row r="1317" spans="1:10" x14ac:dyDescent="0.25">
      <c r="A1317" s="6">
        <v>1328</v>
      </c>
      <c r="B1317" t="s">
        <v>2352</v>
      </c>
      <c r="C1317" t="s">
        <v>1096</v>
      </c>
      <c r="D1317" t="s">
        <v>28</v>
      </c>
      <c r="E1317" t="str">
        <f>VLOOKUP(D1317,'Tên SP'!B$2:C$1070,2,0)</f>
        <v>NƯỚC XẢ VẢI LIXSOFT HƯƠNG HOA HỒNG 3,6L/C04</v>
      </c>
      <c r="F1317" s="4">
        <v>80100</v>
      </c>
      <c r="G1317">
        <v>1</v>
      </c>
      <c r="H1317" s="4">
        <v>80100</v>
      </c>
      <c r="I1317" s="4">
        <v>0</v>
      </c>
      <c r="J1317" s="5">
        <f t="shared" si="20"/>
        <v>80100</v>
      </c>
    </row>
    <row r="1318" spans="1:10" x14ac:dyDescent="0.25">
      <c r="A1318" s="6">
        <v>1329</v>
      </c>
      <c r="B1318" t="s">
        <v>2353</v>
      </c>
      <c r="C1318" t="s">
        <v>1097</v>
      </c>
      <c r="D1318" t="s">
        <v>184</v>
      </c>
      <c r="E1318" t="str">
        <f>VLOOKUP(D1318,'Tên SP'!B$2:C$1070,2,0)</f>
        <v>GEL DIỆT KHUẨN TAY ON1 60ML/CH80</v>
      </c>
      <c r="F1318" s="4">
        <v>21800</v>
      </c>
      <c r="G1318">
        <v>1</v>
      </c>
      <c r="H1318" s="4">
        <v>21800</v>
      </c>
      <c r="I1318" s="4">
        <v>-21800</v>
      </c>
      <c r="J1318" s="5">
        <f t="shared" si="20"/>
        <v>0</v>
      </c>
    </row>
    <row r="1319" spans="1:10" x14ac:dyDescent="0.25">
      <c r="A1319" s="6">
        <v>1330</v>
      </c>
      <c r="B1319" t="s">
        <v>2353</v>
      </c>
      <c r="C1319" t="s">
        <v>1097</v>
      </c>
      <c r="D1319" t="s">
        <v>102</v>
      </c>
      <c r="E1319" t="str">
        <f>VLOOKUP(D1319,'Tên SP'!B$2:C$1070,2,0)</f>
        <v>NƯỚC GIẶT LIX HƯƠNG NƯỚC HOA 3,5KG/T04 TÚI</v>
      </c>
      <c r="F1319" s="4">
        <v>88000</v>
      </c>
      <c r="G1319">
        <v>1</v>
      </c>
      <c r="H1319" s="4">
        <v>88000</v>
      </c>
      <c r="I1319" s="4">
        <v>-5000</v>
      </c>
      <c r="J1319" s="5">
        <f t="shared" si="20"/>
        <v>83000</v>
      </c>
    </row>
    <row r="1320" spans="1:10" x14ac:dyDescent="0.25">
      <c r="A1320" s="6">
        <v>1331</v>
      </c>
      <c r="B1320" t="s">
        <v>2353</v>
      </c>
      <c r="C1320" t="s">
        <v>1097</v>
      </c>
      <c r="D1320" t="s">
        <v>102</v>
      </c>
      <c r="E1320" t="str">
        <f>VLOOKUP(D1320,'Tên SP'!B$2:C$1070,2,0)</f>
        <v>NƯỚC GIẶT LIX HƯƠNG NƯỚC HOA 3,5KG/T04 TÚI</v>
      </c>
      <c r="F1320" s="4">
        <v>88000</v>
      </c>
      <c r="G1320">
        <v>1</v>
      </c>
      <c r="H1320" s="4">
        <v>88000</v>
      </c>
      <c r="I1320" s="4">
        <v>-5000</v>
      </c>
      <c r="J1320" s="5">
        <f t="shared" si="20"/>
        <v>83000</v>
      </c>
    </row>
    <row r="1321" spans="1:10" x14ac:dyDescent="0.25">
      <c r="A1321" s="6">
        <v>1332</v>
      </c>
      <c r="B1321" t="s">
        <v>2353</v>
      </c>
      <c r="C1321" t="s">
        <v>1097</v>
      </c>
      <c r="D1321" t="s">
        <v>102</v>
      </c>
      <c r="E1321" t="str">
        <f>VLOOKUP(D1321,'Tên SP'!B$2:C$1070,2,0)</f>
        <v>NƯỚC GIẶT LIX HƯƠNG NƯỚC HOA 3,5KG/T04 TÚI</v>
      </c>
      <c r="F1321" s="4">
        <v>88000</v>
      </c>
      <c r="G1321">
        <v>1</v>
      </c>
      <c r="H1321" s="4">
        <v>88000</v>
      </c>
      <c r="I1321" s="4">
        <v>-5000</v>
      </c>
      <c r="J1321" s="5">
        <f t="shared" si="20"/>
        <v>83000</v>
      </c>
    </row>
    <row r="1322" spans="1:10" x14ac:dyDescent="0.25">
      <c r="A1322" s="6">
        <v>1333</v>
      </c>
      <c r="B1322" t="s">
        <v>2354</v>
      </c>
      <c r="C1322" t="s">
        <v>1098</v>
      </c>
      <c r="D1322" t="s">
        <v>102</v>
      </c>
      <c r="E1322" t="str">
        <f>VLOOKUP(D1322,'Tên SP'!B$2:C$1070,2,0)</f>
        <v>NƯỚC GIẶT LIX HƯƠNG NƯỚC HOA 3,5KG/T04 TÚI</v>
      </c>
      <c r="F1322" s="4">
        <v>88000</v>
      </c>
      <c r="G1322">
        <v>1</v>
      </c>
      <c r="H1322" s="4">
        <v>88000</v>
      </c>
      <c r="I1322" s="4">
        <v>0</v>
      </c>
      <c r="J1322" s="5">
        <f t="shared" si="20"/>
        <v>88000</v>
      </c>
    </row>
    <row r="1323" spans="1:10" x14ac:dyDescent="0.25">
      <c r="A1323" s="6">
        <v>1334</v>
      </c>
      <c r="B1323" t="s">
        <v>2355</v>
      </c>
      <c r="C1323" t="s">
        <v>1099</v>
      </c>
      <c r="D1323" t="s">
        <v>28</v>
      </c>
      <c r="E1323" t="str">
        <f>VLOOKUP(D1323,'Tên SP'!B$2:C$1070,2,0)</f>
        <v>NƯỚC XẢ VẢI LIXSOFT HƯƠNG HOA HỒNG 3,6L/C04</v>
      </c>
      <c r="F1323" s="4">
        <v>80100</v>
      </c>
      <c r="G1323">
        <v>1</v>
      </c>
      <c r="H1323" s="4">
        <v>80100</v>
      </c>
      <c r="I1323" s="4">
        <v>0</v>
      </c>
      <c r="J1323" s="5">
        <f t="shared" si="20"/>
        <v>80100</v>
      </c>
    </row>
    <row r="1324" spans="1:10" x14ac:dyDescent="0.25">
      <c r="A1324" s="6">
        <v>1335</v>
      </c>
      <c r="B1324" t="s">
        <v>2356</v>
      </c>
      <c r="C1324" t="s">
        <v>1100</v>
      </c>
      <c r="D1324" t="s">
        <v>9</v>
      </c>
      <c r="E1324" t="str">
        <f>VLOOKUP(D1324,'Tên SP'!B$2:C$1070,2,0)</f>
        <v>NƯỚC GIẶT LIX ĐẬM ĐẶC 3,5KG/T04 TÚI</v>
      </c>
      <c r="F1324" s="4">
        <v>88000</v>
      </c>
      <c r="G1324">
        <v>1</v>
      </c>
      <c r="H1324" s="4">
        <v>88000</v>
      </c>
      <c r="I1324" s="4">
        <v>0</v>
      </c>
      <c r="J1324" s="5">
        <f t="shared" si="20"/>
        <v>88000</v>
      </c>
    </row>
    <row r="1325" spans="1:10" x14ac:dyDescent="0.25">
      <c r="A1325" s="6">
        <v>1336</v>
      </c>
      <c r="B1325" t="s">
        <v>2357</v>
      </c>
      <c r="C1325" t="s">
        <v>1101</v>
      </c>
      <c r="D1325" t="s">
        <v>9</v>
      </c>
      <c r="E1325" t="str">
        <f>VLOOKUP(D1325,'Tên SP'!B$2:C$1070,2,0)</f>
        <v>NƯỚC GIẶT LIX ĐẬM ĐẶC 3,5KG/T04 TÚI</v>
      </c>
      <c r="F1325" s="4">
        <v>88000</v>
      </c>
      <c r="G1325">
        <v>1</v>
      </c>
      <c r="H1325" s="4">
        <v>88000</v>
      </c>
      <c r="I1325" s="4">
        <v>0</v>
      </c>
      <c r="J1325" s="5">
        <f t="shared" si="20"/>
        <v>88000</v>
      </c>
    </row>
    <row r="1326" spans="1:10" x14ac:dyDescent="0.25">
      <c r="A1326" s="6">
        <v>1337</v>
      </c>
      <c r="B1326" t="s">
        <v>2358</v>
      </c>
      <c r="C1326" t="s">
        <v>1102</v>
      </c>
      <c r="D1326" t="s">
        <v>102</v>
      </c>
      <c r="E1326" t="str">
        <f>VLOOKUP(D1326,'Tên SP'!B$2:C$1070,2,0)</f>
        <v>NƯỚC GIẶT LIX HƯƠNG NƯỚC HOA 3,5KG/T04 TÚI</v>
      </c>
      <c r="F1326" s="4">
        <v>88000</v>
      </c>
      <c r="G1326">
        <v>1</v>
      </c>
      <c r="H1326" s="4">
        <v>88000</v>
      </c>
      <c r="I1326" s="4">
        <v>0</v>
      </c>
      <c r="J1326" s="5">
        <f t="shared" si="20"/>
        <v>88000</v>
      </c>
    </row>
    <row r="1327" spans="1:10" x14ac:dyDescent="0.25">
      <c r="A1327" s="6">
        <v>1338</v>
      </c>
      <c r="B1327" t="s">
        <v>2359</v>
      </c>
      <c r="C1327" t="s">
        <v>1103</v>
      </c>
      <c r="D1327" t="s">
        <v>9</v>
      </c>
      <c r="E1327" t="str">
        <f>VLOOKUP(D1327,'Tên SP'!B$2:C$1070,2,0)</f>
        <v>NƯỚC GIẶT LIX ĐẬM ĐẶC 3,5KG/T04 TÚI</v>
      </c>
      <c r="F1327" s="4">
        <v>88000</v>
      </c>
      <c r="G1327">
        <v>1</v>
      </c>
      <c r="H1327" s="4">
        <v>88000</v>
      </c>
      <c r="I1327" s="4">
        <v>0</v>
      </c>
      <c r="J1327" s="5">
        <f t="shared" si="20"/>
        <v>88000</v>
      </c>
    </row>
    <row r="1328" spans="1:10" x14ac:dyDescent="0.25">
      <c r="A1328" s="6">
        <v>1339</v>
      </c>
      <c r="B1328" t="s">
        <v>2360</v>
      </c>
      <c r="C1328" t="s">
        <v>1104</v>
      </c>
      <c r="D1328" t="s">
        <v>102</v>
      </c>
      <c r="E1328" t="str">
        <f>VLOOKUP(D1328,'Tên SP'!B$2:C$1070,2,0)</f>
        <v>NƯỚC GIẶT LIX HƯƠNG NƯỚC HOA 3,5KG/T04 TÚI</v>
      </c>
      <c r="F1328" s="4">
        <v>88000</v>
      </c>
      <c r="G1328">
        <v>1</v>
      </c>
      <c r="H1328" s="4">
        <v>88000</v>
      </c>
      <c r="I1328" s="4">
        <v>0</v>
      </c>
      <c r="J1328" s="5">
        <f t="shared" si="20"/>
        <v>88000</v>
      </c>
    </row>
    <row r="1329" spans="1:10" x14ac:dyDescent="0.25">
      <c r="A1329" s="6">
        <v>1340</v>
      </c>
      <c r="B1329" t="s">
        <v>2361</v>
      </c>
      <c r="C1329" t="s">
        <v>1105</v>
      </c>
      <c r="D1329" t="s">
        <v>102</v>
      </c>
      <c r="E1329" t="str">
        <f>VLOOKUP(D1329,'Tên SP'!B$2:C$1070,2,0)</f>
        <v>NƯỚC GIẶT LIX HƯƠNG NƯỚC HOA 3,5KG/T04 TÚI</v>
      </c>
      <c r="F1329" s="4">
        <v>88000</v>
      </c>
      <c r="G1329">
        <v>1</v>
      </c>
      <c r="H1329" s="4">
        <v>88000</v>
      </c>
      <c r="I1329" s="4">
        <v>0</v>
      </c>
      <c r="J1329" s="5">
        <f t="shared" si="20"/>
        <v>88000</v>
      </c>
    </row>
    <row r="1330" spans="1:10" x14ac:dyDescent="0.25">
      <c r="A1330" s="6">
        <v>1341</v>
      </c>
      <c r="B1330" t="s">
        <v>2362</v>
      </c>
      <c r="C1330" t="s">
        <v>1106</v>
      </c>
      <c r="D1330" t="s">
        <v>47</v>
      </c>
      <c r="E1330" t="str">
        <f>VLOOKUP(D1330,'Tên SP'!B$2:C$1070,2,0)</f>
        <v>BỘT GIẶT LIXE CHANH 2,4KG/05</v>
      </c>
      <c r="F1330" s="4">
        <v>60100</v>
      </c>
      <c r="G1330">
        <v>1</v>
      </c>
      <c r="H1330" s="4">
        <v>60100</v>
      </c>
      <c r="I1330" s="4">
        <v>-9015</v>
      </c>
      <c r="J1330" s="5">
        <f t="shared" si="20"/>
        <v>51085</v>
      </c>
    </row>
    <row r="1331" spans="1:10" x14ac:dyDescent="0.25">
      <c r="A1331" s="6">
        <v>1342</v>
      </c>
      <c r="B1331" t="s">
        <v>2363</v>
      </c>
      <c r="C1331" t="s">
        <v>1107</v>
      </c>
      <c r="D1331" t="s">
        <v>202</v>
      </c>
      <c r="E1331" t="str">
        <f>VLOOKUP(D1331,'Tên SP'!B$2:C$1070,2,0)</f>
        <v>TINH DẦU ON1 SẢ LAVENDER 100ML/CH12</v>
      </c>
      <c r="F1331" s="4">
        <v>69300</v>
      </c>
      <c r="G1331">
        <v>1</v>
      </c>
      <c r="H1331" s="4">
        <v>69300</v>
      </c>
      <c r="I1331" s="4">
        <v>-9380</v>
      </c>
      <c r="J1331" s="5">
        <f t="shared" si="20"/>
        <v>59920</v>
      </c>
    </row>
    <row r="1332" spans="1:10" x14ac:dyDescent="0.25">
      <c r="A1332" s="6">
        <v>1343</v>
      </c>
      <c r="B1332" t="s">
        <v>2363</v>
      </c>
      <c r="C1332" t="s">
        <v>1107</v>
      </c>
      <c r="D1332" t="s">
        <v>9</v>
      </c>
      <c r="E1332" t="str">
        <f>VLOOKUP(D1332,'Tên SP'!B$2:C$1070,2,0)</f>
        <v>NƯỚC GIẶT LIX ĐẬM ĐẶC 3,5KG/T04 TÚI</v>
      </c>
      <c r="F1332" s="4">
        <v>88000</v>
      </c>
      <c r="G1332">
        <v>1</v>
      </c>
      <c r="H1332" s="4">
        <v>88000</v>
      </c>
      <c r="I1332" s="4">
        <v>-11912</v>
      </c>
      <c r="J1332" s="5">
        <f t="shared" si="20"/>
        <v>76088</v>
      </c>
    </row>
    <row r="1333" spans="1:10" x14ac:dyDescent="0.25">
      <c r="A1333" s="6">
        <v>1344</v>
      </c>
      <c r="B1333" t="s">
        <v>2364</v>
      </c>
      <c r="C1333" t="s">
        <v>1108</v>
      </c>
      <c r="D1333" t="s">
        <v>9</v>
      </c>
      <c r="E1333" t="str">
        <f>VLOOKUP(D1333,'Tên SP'!B$2:C$1070,2,0)</f>
        <v>NƯỚC GIẶT LIX ĐẬM ĐẶC 3,5KG/T04 TÚI</v>
      </c>
      <c r="F1333" s="4">
        <v>88000</v>
      </c>
      <c r="G1333">
        <v>1</v>
      </c>
      <c r="H1333" s="4">
        <v>88000</v>
      </c>
      <c r="I1333" s="4">
        <v>0</v>
      </c>
      <c r="J1333" s="5">
        <f t="shared" si="20"/>
        <v>88000</v>
      </c>
    </row>
    <row r="1334" spans="1:10" x14ac:dyDescent="0.25">
      <c r="A1334" s="6">
        <v>1345</v>
      </c>
      <c r="B1334" t="s">
        <v>2365</v>
      </c>
      <c r="C1334" t="s">
        <v>1109</v>
      </c>
      <c r="D1334" t="s">
        <v>9</v>
      </c>
      <c r="E1334" t="str">
        <f>VLOOKUP(D1334,'Tên SP'!B$2:C$1070,2,0)</f>
        <v>NƯỚC GIẶT LIX ĐẬM ĐẶC 3,5KG/T04 TÚI</v>
      </c>
      <c r="F1334" s="4">
        <v>88000</v>
      </c>
      <c r="G1334">
        <v>1</v>
      </c>
      <c r="H1334" s="4">
        <v>88000</v>
      </c>
      <c r="I1334" s="4">
        <v>0</v>
      </c>
      <c r="J1334" s="5">
        <f t="shared" si="20"/>
        <v>88000</v>
      </c>
    </row>
    <row r="1335" spans="1:10" x14ac:dyDescent="0.25">
      <c r="A1335" s="6">
        <v>1346</v>
      </c>
      <c r="B1335" t="s">
        <v>2366</v>
      </c>
      <c r="C1335" t="s">
        <v>1110</v>
      </c>
      <c r="D1335" t="s">
        <v>106</v>
      </c>
      <c r="E1335" t="str">
        <f>VLOOKUP(D1335,'Tên SP'!B$2:C$1070,2,0)</f>
        <v>NƯỚC GIẶT LIX SIÊU SẠCH HOA ANH ĐÀO 2.4KG/T06</v>
      </c>
      <c r="F1335" s="4">
        <v>65300</v>
      </c>
      <c r="G1335">
        <v>1</v>
      </c>
      <c r="H1335" s="4">
        <v>65300</v>
      </c>
      <c r="I1335" s="4">
        <v>-2612</v>
      </c>
      <c r="J1335" s="5">
        <f t="shared" ref="J1335:J1398" si="21">H1335+I1335</f>
        <v>62688</v>
      </c>
    </row>
    <row r="1336" spans="1:10" x14ac:dyDescent="0.25">
      <c r="A1336" s="6">
        <v>1347</v>
      </c>
      <c r="B1336" t="s">
        <v>2366</v>
      </c>
      <c r="C1336" t="s">
        <v>1110</v>
      </c>
      <c r="D1336" t="s">
        <v>106</v>
      </c>
      <c r="E1336" t="str">
        <f>VLOOKUP(D1336,'Tên SP'!B$2:C$1070,2,0)</f>
        <v>NƯỚC GIẶT LIX SIÊU SẠCH HOA ANH ĐÀO 2.4KG/T06</v>
      </c>
      <c r="F1336" s="4">
        <v>65300</v>
      </c>
      <c r="G1336">
        <v>1</v>
      </c>
      <c r="H1336" s="4">
        <v>65300</v>
      </c>
      <c r="I1336" s="4">
        <v>-2612</v>
      </c>
      <c r="J1336" s="5">
        <f t="shared" si="21"/>
        <v>62688</v>
      </c>
    </row>
    <row r="1337" spans="1:10" x14ac:dyDescent="0.25">
      <c r="A1337" s="6">
        <v>1348</v>
      </c>
      <c r="B1337" t="s">
        <v>2367</v>
      </c>
      <c r="C1337" t="s">
        <v>1111</v>
      </c>
      <c r="D1337" t="s">
        <v>9</v>
      </c>
      <c r="E1337" t="str">
        <f>VLOOKUP(D1337,'Tên SP'!B$2:C$1070,2,0)</f>
        <v>NƯỚC GIẶT LIX ĐẬM ĐẶC 3,5KG/T04 TÚI</v>
      </c>
      <c r="F1337" s="4">
        <v>91400</v>
      </c>
      <c r="G1337">
        <v>1</v>
      </c>
      <c r="H1337" s="4">
        <v>91400</v>
      </c>
      <c r="I1337" s="4">
        <v>0</v>
      </c>
      <c r="J1337" s="5">
        <f t="shared" si="21"/>
        <v>91400</v>
      </c>
    </row>
    <row r="1338" spans="1:10" x14ac:dyDescent="0.25">
      <c r="A1338" s="6">
        <v>1349</v>
      </c>
      <c r="B1338" t="s">
        <v>2368</v>
      </c>
      <c r="C1338" t="s">
        <v>1112</v>
      </c>
      <c r="D1338" t="s">
        <v>9</v>
      </c>
      <c r="E1338" t="str">
        <f>VLOOKUP(D1338,'Tên SP'!B$2:C$1070,2,0)</f>
        <v>NƯỚC GIẶT LIX ĐẬM ĐẶC 3,5KG/T04 TÚI</v>
      </c>
      <c r="F1338" s="4">
        <v>91400</v>
      </c>
      <c r="G1338">
        <v>1</v>
      </c>
      <c r="H1338" s="4">
        <v>91400</v>
      </c>
      <c r="I1338" s="4">
        <v>-13710</v>
      </c>
      <c r="J1338" s="5">
        <f t="shared" si="21"/>
        <v>77690</v>
      </c>
    </row>
    <row r="1339" spans="1:10" x14ac:dyDescent="0.25">
      <c r="A1339" s="6">
        <v>1350</v>
      </c>
      <c r="B1339" t="s">
        <v>2369</v>
      </c>
      <c r="C1339" t="s">
        <v>1113</v>
      </c>
      <c r="D1339" t="s">
        <v>206</v>
      </c>
      <c r="E1339" t="str">
        <f>VLOOKUP(D1339,'Tên SP'!B$2:C$1070,2,0)</f>
        <v>NƯỚC GIẶT LIX MATIC HƯƠNG NƯỚC HOA 3,6KG/C04</v>
      </c>
      <c r="F1339" s="4">
        <v>122700</v>
      </c>
      <c r="G1339">
        <v>1</v>
      </c>
      <c r="H1339" s="4">
        <v>122700</v>
      </c>
      <c r="I1339" s="4">
        <v>-15000</v>
      </c>
      <c r="J1339" s="5">
        <f t="shared" si="21"/>
        <v>107700</v>
      </c>
    </row>
    <row r="1340" spans="1:10" x14ac:dyDescent="0.25">
      <c r="A1340" s="6">
        <v>1351</v>
      </c>
      <c r="B1340" t="s">
        <v>2370</v>
      </c>
      <c r="C1340" t="s">
        <v>1114</v>
      </c>
      <c r="D1340" t="s">
        <v>102</v>
      </c>
      <c r="E1340" t="str">
        <f>VLOOKUP(D1340,'Tên SP'!B$2:C$1070,2,0)</f>
        <v>NƯỚC GIẶT LIX HƯƠNG NƯỚC HOA 3,5KG/T04 TÚI</v>
      </c>
      <c r="F1340" s="4">
        <v>88000</v>
      </c>
      <c r="G1340">
        <v>1</v>
      </c>
      <c r="H1340" s="4">
        <v>88000</v>
      </c>
      <c r="I1340" s="4">
        <v>0</v>
      </c>
      <c r="J1340" s="5">
        <f t="shared" si="21"/>
        <v>88000</v>
      </c>
    </row>
    <row r="1341" spans="1:10" x14ac:dyDescent="0.25">
      <c r="A1341" s="6">
        <v>1352</v>
      </c>
      <c r="B1341" t="s">
        <v>2371</v>
      </c>
      <c r="C1341" t="s">
        <v>1115</v>
      </c>
      <c r="D1341" t="s">
        <v>102</v>
      </c>
      <c r="E1341" t="str">
        <f>VLOOKUP(D1341,'Tên SP'!B$2:C$1070,2,0)</f>
        <v>NƯỚC GIẶT LIX HƯƠNG NƯỚC HOA 3,5KG/T04 TÚI</v>
      </c>
      <c r="F1341" s="4">
        <v>88000</v>
      </c>
      <c r="G1341">
        <v>1</v>
      </c>
      <c r="H1341" s="4">
        <v>88000</v>
      </c>
      <c r="I1341" s="4">
        <v>-13200</v>
      </c>
      <c r="J1341" s="5">
        <f t="shared" si="21"/>
        <v>74800</v>
      </c>
    </row>
    <row r="1342" spans="1:10" x14ac:dyDescent="0.25">
      <c r="A1342" s="6">
        <v>1353</v>
      </c>
      <c r="B1342" t="s">
        <v>2372</v>
      </c>
      <c r="C1342" t="s">
        <v>1116</v>
      </c>
      <c r="D1342" t="s">
        <v>9</v>
      </c>
      <c r="E1342" t="str">
        <f>VLOOKUP(D1342,'Tên SP'!B$2:C$1070,2,0)</f>
        <v>NƯỚC GIẶT LIX ĐẬM ĐẶC 3,5KG/T04 TÚI</v>
      </c>
      <c r="F1342" s="4">
        <v>91400</v>
      </c>
      <c r="G1342">
        <v>1</v>
      </c>
      <c r="H1342" s="4">
        <v>91400</v>
      </c>
      <c r="I1342" s="4">
        <v>-13710</v>
      </c>
      <c r="J1342" s="5">
        <f t="shared" si="21"/>
        <v>77690</v>
      </c>
    </row>
    <row r="1343" spans="1:10" x14ac:dyDescent="0.25">
      <c r="A1343" s="6">
        <v>1354</v>
      </c>
      <c r="B1343" t="s">
        <v>2373</v>
      </c>
      <c r="C1343" t="s">
        <v>1117</v>
      </c>
      <c r="D1343" t="s">
        <v>36</v>
      </c>
      <c r="E1343" t="str">
        <f>VLOOKUP(D1343,'Tên SP'!B$2:C$1070,2,0)</f>
        <v>BỘT GIẶT LIXE HƯƠNG NƯỚC HOA 7KG/02</v>
      </c>
      <c r="F1343" s="4">
        <v>155800</v>
      </c>
      <c r="G1343">
        <v>1</v>
      </c>
      <c r="H1343" s="4">
        <v>155800</v>
      </c>
      <c r="I1343" s="4">
        <v>-15000</v>
      </c>
      <c r="J1343" s="5">
        <f t="shared" si="21"/>
        <v>140800</v>
      </c>
    </row>
    <row r="1344" spans="1:10" x14ac:dyDescent="0.25">
      <c r="A1344" s="6">
        <v>1355</v>
      </c>
      <c r="B1344" t="s">
        <v>2374</v>
      </c>
      <c r="C1344" t="s">
        <v>1118</v>
      </c>
      <c r="D1344" t="s">
        <v>100</v>
      </c>
      <c r="E1344" t="str">
        <f>VLOOKUP(D1344,'Tên SP'!B$2:C$1070,2,0)</f>
        <v>NƯỚC GIẶT LIX HƯƠNG NƯỚC HOA 3,6KG/C04</v>
      </c>
      <c r="F1344" s="4">
        <v>104400</v>
      </c>
      <c r="G1344">
        <v>1</v>
      </c>
      <c r="H1344" s="4">
        <v>104400</v>
      </c>
      <c r="I1344" s="4">
        <v>0</v>
      </c>
      <c r="J1344" s="5">
        <f t="shared" si="21"/>
        <v>104400</v>
      </c>
    </row>
    <row r="1345" spans="1:10" x14ac:dyDescent="0.25">
      <c r="A1345" s="6">
        <v>1356</v>
      </c>
      <c r="B1345" t="s">
        <v>2375</v>
      </c>
      <c r="C1345" t="s">
        <v>1119</v>
      </c>
      <c r="D1345" t="s">
        <v>44</v>
      </c>
      <c r="E1345" t="str">
        <f>VLOOKUP(D1345,'Tên SP'!B$2:C$1070,2,0)</f>
        <v>BỘT GIẶT LIXE CHANH 5,5KG/03</v>
      </c>
      <c r="F1345" s="4">
        <v>126200</v>
      </c>
      <c r="G1345">
        <v>1</v>
      </c>
      <c r="H1345" s="4">
        <v>126200</v>
      </c>
      <c r="I1345" s="4">
        <v>-15000</v>
      </c>
      <c r="J1345" s="5">
        <f t="shared" si="21"/>
        <v>111200</v>
      </c>
    </row>
    <row r="1346" spans="1:10" x14ac:dyDescent="0.25">
      <c r="A1346" s="6">
        <v>1357</v>
      </c>
      <c r="B1346" t="s">
        <v>2376</v>
      </c>
      <c r="C1346" t="s">
        <v>1120</v>
      </c>
      <c r="D1346" t="s">
        <v>31</v>
      </c>
      <c r="E1346" t="str">
        <f>VLOOKUP(D1346,'Tên SP'!B$2:C$1070,2,0)</f>
        <v>BỘT GIẶT LIXE 5,5KG/03</v>
      </c>
      <c r="F1346" s="4">
        <v>126200</v>
      </c>
      <c r="G1346">
        <v>1</v>
      </c>
      <c r="H1346" s="4">
        <v>126200</v>
      </c>
      <c r="I1346" s="4">
        <v>0</v>
      </c>
      <c r="J1346" s="5">
        <f t="shared" si="21"/>
        <v>126200</v>
      </c>
    </row>
    <row r="1347" spans="1:10" x14ac:dyDescent="0.25">
      <c r="A1347" s="6">
        <v>1358</v>
      </c>
      <c r="B1347" t="s">
        <v>2377</v>
      </c>
      <c r="C1347" t="s">
        <v>1121</v>
      </c>
      <c r="D1347" t="s">
        <v>9</v>
      </c>
      <c r="E1347" t="str">
        <f>VLOOKUP(D1347,'Tên SP'!B$2:C$1070,2,0)</f>
        <v>NƯỚC GIẶT LIX ĐẬM ĐẶC 3,5KG/T04 TÚI</v>
      </c>
      <c r="F1347" s="4">
        <v>91400</v>
      </c>
      <c r="G1347">
        <v>1</v>
      </c>
      <c r="H1347" s="4">
        <v>91400</v>
      </c>
      <c r="I1347" s="4">
        <v>-3750</v>
      </c>
      <c r="J1347" s="5">
        <f t="shared" si="21"/>
        <v>87650</v>
      </c>
    </row>
    <row r="1348" spans="1:10" x14ac:dyDescent="0.25">
      <c r="A1348" s="6">
        <v>1359</v>
      </c>
      <c r="B1348" t="s">
        <v>2377</v>
      </c>
      <c r="C1348" t="s">
        <v>1121</v>
      </c>
      <c r="D1348" t="s">
        <v>9</v>
      </c>
      <c r="E1348" t="str">
        <f>VLOOKUP(D1348,'Tên SP'!B$2:C$1070,2,0)</f>
        <v>NƯỚC GIẶT LIX ĐẬM ĐẶC 3,5KG/T04 TÚI</v>
      </c>
      <c r="F1348" s="4">
        <v>91400</v>
      </c>
      <c r="G1348">
        <v>1</v>
      </c>
      <c r="H1348" s="4">
        <v>91400</v>
      </c>
      <c r="I1348" s="4">
        <v>-3750</v>
      </c>
      <c r="J1348" s="5">
        <f t="shared" si="21"/>
        <v>87650</v>
      </c>
    </row>
    <row r="1349" spans="1:10" x14ac:dyDescent="0.25">
      <c r="A1349" s="6">
        <v>1360</v>
      </c>
      <c r="B1349" t="s">
        <v>2377</v>
      </c>
      <c r="C1349" t="s">
        <v>1121</v>
      </c>
      <c r="D1349" t="s">
        <v>9</v>
      </c>
      <c r="E1349" t="str">
        <f>VLOOKUP(D1349,'Tên SP'!B$2:C$1070,2,0)</f>
        <v>NƯỚC GIẶT LIX ĐẬM ĐẶC 3,5KG/T04 TÚI</v>
      </c>
      <c r="F1349" s="4">
        <v>91400</v>
      </c>
      <c r="G1349">
        <v>1</v>
      </c>
      <c r="H1349" s="4">
        <v>91400</v>
      </c>
      <c r="I1349" s="4">
        <v>-3750</v>
      </c>
      <c r="J1349" s="5">
        <f t="shared" si="21"/>
        <v>87650</v>
      </c>
    </row>
    <row r="1350" spans="1:10" x14ac:dyDescent="0.25">
      <c r="A1350" s="6">
        <v>1361</v>
      </c>
      <c r="B1350" t="s">
        <v>2377</v>
      </c>
      <c r="C1350" t="s">
        <v>1121</v>
      </c>
      <c r="D1350" t="s">
        <v>9</v>
      </c>
      <c r="E1350" t="str">
        <f>VLOOKUP(D1350,'Tên SP'!B$2:C$1070,2,0)</f>
        <v>NƯỚC GIẶT LIX ĐẬM ĐẶC 3,5KG/T04 TÚI</v>
      </c>
      <c r="F1350" s="4">
        <v>91400</v>
      </c>
      <c r="G1350">
        <v>1</v>
      </c>
      <c r="H1350" s="4">
        <v>91400</v>
      </c>
      <c r="I1350" s="4">
        <v>-3750</v>
      </c>
      <c r="J1350" s="5">
        <f t="shared" si="21"/>
        <v>87650</v>
      </c>
    </row>
    <row r="1351" spans="1:10" x14ac:dyDescent="0.25">
      <c r="A1351" s="6">
        <v>1362</v>
      </c>
      <c r="B1351" t="s">
        <v>2377</v>
      </c>
      <c r="C1351" t="s">
        <v>1121</v>
      </c>
      <c r="D1351" t="s">
        <v>184</v>
      </c>
      <c r="E1351" t="str">
        <f>VLOOKUP(D1351,'Tên SP'!B$2:C$1070,2,0)</f>
        <v>GEL DIỆT KHUẨN TAY ON1 60ML/CH80</v>
      </c>
      <c r="F1351" s="4">
        <v>15000</v>
      </c>
      <c r="G1351">
        <v>1</v>
      </c>
      <c r="H1351" s="4">
        <v>15000</v>
      </c>
      <c r="I1351" s="4">
        <v>-15000</v>
      </c>
      <c r="J1351" s="5">
        <f t="shared" si="21"/>
        <v>0</v>
      </c>
    </row>
    <row r="1352" spans="1:10" x14ac:dyDescent="0.25">
      <c r="A1352" s="6">
        <v>1363</v>
      </c>
      <c r="B1352" t="s">
        <v>2378</v>
      </c>
      <c r="C1352" t="s">
        <v>1122</v>
      </c>
      <c r="D1352" t="s">
        <v>42</v>
      </c>
      <c r="E1352" t="str">
        <f>VLOOKUP(D1352,'Tên SP'!B$2:C$1070,2,0)</f>
        <v>BỘT GIẶT LIXE HƯƠNG NƯỚC HOA 2,4KG/05</v>
      </c>
      <c r="F1352" s="4">
        <v>59200</v>
      </c>
      <c r="G1352">
        <v>1</v>
      </c>
      <c r="H1352" s="4">
        <v>59200</v>
      </c>
      <c r="I1352" s="4">
        <v>-8333</v>
      </c>
      <c r="J1352" s="5">
        <f t="shared" si="21"/>
        <v>50867</v>
      </c>
    </row>
    <row r="1353" spans="1:10" x14ac:dyDescent="0.25">
      <c r="A1353" s="6">
        <v>1364</v>
      </c>
      <c r="B1353" t="s">
        <v>2378</v>
      </c>
      <c r="C1353" t="s">
        <v>1122</v>
      </c>
      <c r="D1353" t="s">
        <v>42</v>
      </c>
      <c r="E1353" t="str">
        <f>VLOOKUP(D1353,'Tên SP'!B$2:C$1070,2,0)</f>
        <v>BỘT GIẶT LIXE HƯƠNG NƯỚC HOA 2,4KG/05</v>
      </c>
      <c r="F1353" s="4">
        <v>59200</v>
      </c>
      <c r="G1353">
        <v>1</v>
      </c>
      <c r="H1353" s="4">
        <v>59200</v>
      </c>
      <c r="I1353" s="4">
        <v>-8333</v>
      </c>
      <c r="J1353" s="5">
        <f t="shared" si="21"/>
        <v>50867</v>
      </c>
    </row>
    <row r="1354" spans="1:10" x14ac:dyDescent="0.25">
      <c r="A1354" s="6">
        <v>1365</v>
      </c>
      <c r="B1354" t="s">
        <v>2378</v>
      </c>
      <c r="C1354" t="s">
        <v>1122</v>
      </c>
      <c r="D1354" t="s">
        <v>42</v>
      </c>
      <c r="E1354" t="str">
        <f>VLOOKUP(D1354,'Tên SP'!B$2:C$1070,2,0)</f>
        <v>BỘT GIẶT LIXE HƯƠNG NƯỚC HOA 2,4KG/05</v>
      </c>
      <c r="F1354" s="4">
        <v>59200</v>
      </c>
      <c r="G1354">
        <v>1</v>
      </c>
      <c r="H1354" s="4">
        <v>59200</v>
      </c>
      <c r="I1354" s="4">
        <v>-8334</v>
      </c>
      <c r="J1354" s="5">
        <f t="shared" si="21"/>
        <v>50866</v>
      </c>
    </row>
    <row r="1355" spans="1:10" x14ac:dyDescent="0.25">
      <c r="A1355" s="6">
        <v>1366</v>
      </c>
      <c r="B1355" t="s">
        <v>2378</v>
      </c>
      <c r="C1355" t="s">
        <v>1122</v>
      </c>
      <c r="D1355" t="s">
        <v>42</v>
      </c>
      <c r="E1355" t="str">
        <f>VLOOKUP(D1355,'Tên SP'!B$2:C$1070,2,0)</f>
        <v>BỘT GIẶT LIXE HƯƠNG NƯỚC HOA 2,4KG/05</v>
      </c>
      <c r="F1355" s="4">
        <v>59200</v>
      </c>
      <c r="G1355">
        <v>1</v>
      </c>
      <c r="H1355" s="4">
        <v>59200</v>
      </c>
      <c r="I1355" s="4">
        <v>-8333</v>
      </c>
      <c r="J1355" s="5">
        <f t="shared" si="21"/>
        <v>50867</v>
      </c>
    </row>
    <row r="1356" spans="1:10" x14ac:dyDescent="0.25">
      <c r="A1356" s="6">
        <v>1367</v>
      </c>
      <c r="B1356" t="s">
        <v>2378</v>
      </c>
      <c r="C1356" t="s">
        <v>1122</v>
      </c>
      <c r="D1356" t="s">
        <v>42</v>
      </c>
      <c r="E1356" t="str">
        <f>VLOOKUP(D1356,'Tên SP'!B$2:C$1070,2,0)</f>
        <v>BỘT GIẶT LIXE HƯƠNG NƯỚC HOA 2,4KG/05</v>
      </c>
      <c r="F1356" s="4">
        <v>59200</v>
      </c>
      <c r="G1356">
        <v>1</v>
      </c>
      <c r="H1356" s="4">
        <v>59200</v>
      </c>
      <c r="I1356" s="4">
        <v>-8334</v>
      </c>
      <c r="J1356" s="5">
        <f t="shared" si="21"/>
        <v>50866</v>
      </c>
    </row>
    <row r="1357" spans="1:10" x14ac:dyDescent="0.25">
      <c r="A1357" s="6">
        <v>1368</v>
      </c>
      <c r="B1357" t="s">
        <v>2378</v>
      </c>
      <c r="C1357" t="s">
        <v>1122</v>
      </c>
      <c r="D1357" t="s">
        <v>42</v>
      </c>
      <c r="E1357" t="str">
        <f>VLOOKUP(D1357,'Tên SP'!B$2:C$1070,2,0)</f>
        <v>BỘT GIẶT LIXE HƯƠNG NƯỚC HOA 2,4KG/05</v>
      </c>
      <c r="F1357" s="4">
        <v>59200</v>
      </c>
      <c r="G1357">
        <v>1</v>
      </c>
      <c r="H1357" s="4">
        <v>59200</v>
      </c>
      <c r="I1357" s="4">
        <v>-8333</v>
      </c>
      <c r="J1357" s="5">
        <f t="shared" si="21"/>
        <v>50867</v>
      </c>
    </row>
    <row r="1358" spans="1:10" x14ac:dyDescent="0.25">
      <c r="A1358" s="6">
        <v>1369</v>
      </c>
      <c r="B1358" t="s">
        <v>2378</v>
      </c>
      <c r="C1358" t="s">
        <v>1122</v>
      </c>
      <c r="D1358" t="s">
        <v>184</v>
      </c>
      <c r="E1358" t="str">
        <f>VLOOKUP(D1358,'Tên SP'!B$2:C$1070,2,0)</f>
        <v>GEL DIỆT KHUẨN TAY ON1 60ML/CH80</v>
      </c>
      <c r="F1358" s="4">
        <v>15000</v>
      </c>
      <c r="G1358">
        <v>1</v>
      </c>
      <c r="H1358" s="4">
        <v>15000</v>
      </c>
      <c r="I1358" s="4">
        <v>-15000</v>
      </c>
      <c r="J1358" s="5">
        <f t="shared" si="21"/>
        <v>0</v>
      </c>
    </row>
    <row r="1359" spans="1:10" x14ac:dyDescent="0.25">
      <c r="A1359" s="6">
        <v>1370</v>
      </c>
      <c r="B1359" t="s">
        <v>2379</v>
      </c>
      <c r="C1359" t="s">
        <v>1123</v>
      </c>
      <c r="D1359" t="s">
        <v>85</v>
      </c>
      <c r="E1359" t="str">
        <f>VLOOKUP(D1359,'Tên SP'!B$2:C$1070,2,0)</f>
        <v>NƯỚC RỬA CHÉN SIÊU SẠCH TRÀ 3,6KG/C04</v>
      </c>
      <c r="F1359" s="4">
        <v>68800</v>
      </c>
      <c r="G1359">
        <v>1</v>
      </c>
      <c r="H1359" s="4">
        <v>68800</v>
      </c>
      <c r="I1359" s="4">
        <v>-10320</v>
      </c>
      <c r="J1359" s="5">
        <f t="shared" si="21"/>
        <v>58480</v>
      </c>
    </row>
    <row r="1360" spans="1:10" x14ac:dyDescent="0.25">
      <c r="A1360" s="6">
        <v>1371</v>
      </c>
      <c r="B1360" t="s">
        <v>2380</v>
      </c>
      <c r="C1360" t="s">
        <v>1124</v>
      </c>
      <c r="D1360" t="s">
        <v>102</v>
      </c>
      <c r="E1360" t="str">
        <f>VLOOKUP(D1360,'Tên SP'!B$2:C$1070,2,0)</f>
        <v>NƯỚC GIẶT LIX HƯƠNG NƯỚC HOA 3,5KG/T04 TÚI</v>
      </c>
      <c r="F1360" s="4">
        <v>88000</v>
      </c>
      <c r="G1360">
        <v>1</v>
      </c>
      <c r="H1360" s="4">
        <v>88000</v>
      </c>
      <c r="I1360" s="4">
        <v>-13200</v>
      </c>
      <c r="J1360" s="5">
        <f t="shared" si="21"/>
        <v>74800</v>
      </c>
    </row>
    <row r="1361" spans="1:10" x14ac:dyDescent="0.25">
      <c r="A1361" s="6">
        <v>1372</v>
      </c>
      <c r="B1361" t="s">
        <v>2381</v>
      </c>
      <c r="C1361" t="s">
        <v>1125</v>
      </c>
      <c r="D1361" t="s">
        <v>194</v>
      </c>
      <c r="E1361" t="str">
        <f>VLOOKUP(D1361,'Tên SP'!B$2:C$1070,2,0)</f>
        <v>GEL TẨY BỒN CẦU &amp; NHÀ TẮM ON1 500G/CH24</v>
      </c>
      <c r="F1361" s="4">
        <v>30500</v>
      </c>
      <c r="G1361">
        <v>1</v>
      </c>
      <c r="H1361" s="4">
        <v>30500</v>
      </c>
      <c r="I1361" s="4">
        <v>-1525</v>
      </c>
      <c r="J1361" s="5">
        <f t="shared" si="21"/>
        <v>28975</v>
      </c>
    </row>
    <row r="1362" spans="1:10" x14ac:dyDescent="0.25">
      <c r="A1362" s="6">
        <v>1373</v>
      </c>
      <c r="B1362" t="s">
        <v>2381</v>
      </c>
      <c r="C1362" t="s">
        <v>1125</v>
      </c>
      <c r="D1362" t="s">
        <v>192</v>
      </c>
      <c r="E1362" t="str">
        <f>VLOOKUP(D1362,'Tên SP'!B$2:C$1070,2,0)</f>
        <v>GEL TẨY BỒN CẦU &amp; NHÀ TẮM ON1 900G/CH12</v>
      </c>
      <c r="F1362" s="4">
        <v>42700</v>
      </c>
      <c r="G1362">
        <v>1</v>
      </c>
      <c r="H1362" s="4">
        <v>42700</v>
      </c>
      <c r="I1362" s="4">
        <v>-2135</v>
      </c>
      <c r="J1362" s="5">
        <f t="shared" si="21"/>
        <v>40565</v>
      </c>
    </row>
    <row r="1363" spans="1:10" x14ac:dyDescent="0.25">
      <c r="A1363" s="6">
        <v>1374</v>
      </c>
      <c r="B1363" t="s">
        <v>2381</v>
      </c>
      <c r="C1363" t="s">
        <v>1125</v>
      </c>
      <c r="D1363" t="s">
        <v>192</v>
      </c>
      <c r="E1363" t="str">
        <f>VLOOKUP(D1363,'Tên SP'!B$2:C$1070,2,0)</f>
        <v>GEL TẨY BỒN CẦU &amp; NHÀ TẮM ON1 900G/CH12</v>
      </c>
      <c r="F1363" s="4">
        <v>42700</v>
      </c>
      <c r="G1363">
        <v>1</v>
      </c>
      <c r="H1363" s="4">
        <v>42700</v>
      </c>
      <c r="I1363" s="4">
        <v>-2135</v>
      </c>
      <c r="J1363" s="5">
        <f t="shared" si="21"/>
        <v>40565</v>
      </c>
    </row>
    <row r="1364" spans="1:10" x14ac:dyDescent="0.25">
      <c r="A1364" s="6">
        <v>1375</v>
      </c>
      <c r="B1364" t="s">
        <v>2382</v>
      </c>
      <c r="C1364" t="s">
        <v>1126</v>
      </c>
      <c r="D1364" t="s">
        <v>102</v>
      </c>
      <c r="E1364" t="str">
        <f>VLOOKUP(D1364,'Tên SP'!B$2:C$1070,2,0)</f>
        <v>NƯỚC GIẶT LIX HƯƠNG NƯỚC HOA 3,5KG/T04 TÚI</v>
      </c>
      <c r="F1364" s="4">
        <v>88000</v>
      </c>
      <c r="G1364">
        <v>1</v>
      </c>
      <c r="H1364" s="4">
        <v>88000</v>
      </c>
      <c r="I1364" s="4">
        <v>-13200</v>
      </c>
      <c r="J1364" s="5">
        <f t="shared" si="21"/>
        <v>74800</v>
      </c>
    </row>
    <row r="1365" spans="1:10" x14ac:dyDescent="0.25">
      <c r="A1365" s="6">
        <v>1376</v>
      </c>
      <c r="B1365" t="s">
        <v>2383</v>
      </c>
      <c r="C1365" t="s">
        <v>1127</v>
      </c>
      <c r="D1365" t="s">
        <v>102</v>
      </c>
      <c r="E1365" t="str">
        <f>VLOOKUP(D1365,'Tên SP'!B$2:C$1070,2,0)</f>
        <v>NƯỚC GIẶT LIX HƯƠNG NƯỚC HOA 3,5KG/T04 TÚI</v>
      </c>
      <c r="F1365" s="4">
        <v>88000</v>
      </c>
      <c r="G1365">
        <v>1</v>
      </c>
      <c r="H1365" s="4">
        <v>88000</v>
      </c>
      <c r="I1365" s="4">
        <v>0</v>
      </c>
      <c r="J1365" s="5">
        <f t="shared" si="21"/>
        <v>88000</v>
      </c>
    </row>
    <row r="1366" spans="1:10" x14ac:dyDescent="0.25">
      <c r="A1366" s="6">
        <v>1377</v>
      </c>
      <c r="B1366" t="s">
        <v>2383</v>
      </c>
      <c r="C1366" t="s">
        <v>1128</v>
      </c>
      <c r="D1366" t="s">
        <v>44</v>
      </c>
      <c r="E1366" t="str">
        <f>VLOOKUP(D1366,'Tên SP'!B$2:C$1070,2,0)</f>
        <v>BỘT GIẶT LIXE CHANH 5,5KG/03</v>
      </c>
      <c r="F1366" s="4">
        <v>126200</v>
      </c>
      <c r="G1366">
        <v>1</v>
      </c>
      <c r="H1366" s="4">
        <v>126200</v>
      </c>
      <c r="I1366" s="4">
        <v>0</v>
      </c>
      <c r="J1366" s="5">
        <f t="shared" si="21"/>
        <v>126200</v>
      </c>
    </row>
    <row r="1367" spans="1:10" x14ac:dyDescent="0.25">
      <c r="A1367" s="6">
        <v>1378</v>
      </c>
      <c r="B1367" t="s">
        <v>2384</v>
      </c>
      <c r="C1367" t="s">
        <v>1129</v>
      </c>
      <c r="D1367" t="s">
        <v>144</v>
      </c>
      <c r="E1367" t="str">
        <f>VLOOKUP(D1367,'Tên SP'!B$2:C$1070,2,0)</f>
        <v>NƯỚC RỬA CHÉN ON1 TINH DẦU GỪNG SẢ 1KG/CH12</v>
      </c>
      <c r="F1367" s="4">
        <v>51900</v>
      </c>
      <c r="G1367">
        <v>1</v>
      </c>
      <c r="H1367" s="4">
        <v>51900</v>
      </c>
      <c r="I1367" s="4">
        <v>-2076</v>
      </c>
      <c r="J1367" s="5">
        <f t="shared" si="21"/>
        <v>49824</v>
      </c>
    </row>
    <row r="1368" spans="1:10" x14ac:dyDescent="0.25">
      <c r="A1368" s="6">
        <v>1379</v>
      </c>
      <c r="B1368" t="s">
        <v>2384</v>
      </c>
      <c r="C1368" t="s">
        <v>1129</v>
      </c>
      <c r="D1368" t="s">
        <v>102</v>
      </c>
      <c r="E1368" t="str">
        <f>VLOOKUP(D1368,'Tên SP'!B$2:C$1070,2,0)</f>
        <v>NƯỚC GIẶT LIX HƯƠNG NƯỚC HOA 3,5KG/T04 TÚI</v>
      </c>
      <c r="F1368" s="4">
        <v>88000</v>
      </c>
      <c r="G1368">
        <v>1</v>
      </c>
      <c r="H1368" s="4">
        <v>88000</v>
      </c>
      <c r="I1368" s="4">
        <v>-3520</v>
      </c>
      <c r="J1368" s="5">
        <f t="shared" si="21"/>
        <v>84480</v>
      </c>
    </row>
    <row r="1369" spans="1:10" x14ac:dyDescent="0.25">
      <c r="A1369" s="6">
        <v>1380</v>
      </c>
      <c r="B1369" t="s">
        <v>2385</v>
      </c>
      <c r="C1369" t="s">
        <v>1130</v>
      </c>
      <c r="D1369" t="s">
        <v>102</v>
      </c>
      <c r="E1369" t="str">
        <f>VLOOKUP(D1369,'Tên SP'!B$2:C$1070,2,0)</f>
        <v>NƯỚC GIẶT LIX HƯƠNG NƯỚC HOA 3,5KG/T04 TÚI</v>
      </c>
      <c r="F1369" s="4">
        <v>88000</v>
      </c>
      <c r="G1369">
        <v>1</v>
      </c>
      <c r="H1369" s="4">
        <v>88000</v>
      </c>
      <c r="I1369" s="4">
        <v>-13200</v>
      </c>
      <c r="J1369" s="5">
        <f t="shared" si="21"/>
        <v>74800</v>
      </c>
    </row>
    <row r="1370" spans="1:10" x14ac:dyDescent="0.25">
      <c r="A1370" s="6">
        <v>1381</v>
      </c>
      <c r="B1370" t="s">
        <v>2386</v>
      </c>
      <c r="C1370" t="s">
        <v>1131</v>
      </c>
      <c r="D1370" t="s">
        <v>102</v>
      </c>
      <c r="E1370" t="str">
        <f>VLOOKUP(D1370,'Tên SP'!B$2:C$1070,2,0)</f>
        <v>NƯỚC GIẶT LIX HƯƠNG NƯỚC HOA 3,5KG/T04 TÚI</v>
      </c>
      <c r="F1370" s="4">
        <v>88000</v>
      </c>
      <c r="G1370">
        <v>1</v>
      </c>
      <c r="H1370" s="4">
        <v>88000</v>
      </c>
      <c r="I1370" s="4">
        <v>-3520</v>
      </c>
      <c r="J1370" s="5">
        <f t="shared" si="21"/>
        <v>84480</v>
      </c>
    </row>
    <row r="1371" spans="1:10" x14ac:dyDescent="0.25">
      <c r="A1371" s="6">
        <v>1382</v>
      </c>
      <c r="B1371" t="s">
        <v>2386</v>
      </c>
      <c r="C1371" t="s">
        <v>1131</v>
      </c>
      <c r="D1371" t="s">
        <v>102</v>
      </c>
      <c r="E1371" t="str">
        <f>VLOOKUP(D1371,'Tên SP'!B$2:C$1070,2,0)</f>
        <v>NƯỚC GIẶT LIX HƯƠNG NƯỚC HOA 3,5KG/T04 TÚI</v>
      </c>
      <c r="F1371" s="4">
        <v>88000</v>
      </c>
      <c r="G1371">
        <v>1</v>
      </c>
      <c r="H1371" s="4">
        <v>88000</v>
      </c>
      <c r="I1371" s="4">
        <v>-3520</v>
      </c>
      <c r="J1371" s="5">
        <f t="shared" si="21"/>
        <v>84480</v>
      </c>
    </row>
    <row r="1372" spans="1:10" x14ac:dyDescent="0.25">
      <c r="A1372" s="6">
        <v>1383</v>
      </c>
      <c r="B1372" t="s">
        <v>2387</v>
      </c>
      <c r="C1372" t="s">
        <v>1132</v>
      </c>
      <c r="D1372" t="s">
        <v>102</v>
      </c>
      <c r="E1372" t="str">
        <f>VLOOKUP(D1372,'Tên SP'!B$2:C$1070,2,0)</f>
        <v>NƯỚC GIẶT LIX HƯƠNG NƯỚC HOA 3,5KG/T04 TÚI</v>
      </c>
      <c r="F1372" s="4">
        <v>88000</v>
      </c>
      <c r="G1372">
        <v>1</v>
      </c>
      <c r="H1372" s="4">
        <v>88000</v>
      </c>
      <c r="I1372" s="4">
        <v>-13200</v>
      </c>
      <c r="J1372" s="5">
        <f t="shared" si="21"/>
        <v>74800</v>
      </c>
    </row>
    <row r="1373" spans="1:10" x14ac:dyDescent="0.25">
      <c r="A1373" s="6">
        <v>1384</v>
      </c>
      <c r="B1373" t="s">
        <v>2388</v>
      </c>
      <c r="C1373" t="s">
        <v>1133</v>
      </c>
      <c r="D1373" t="s">
        <v>97</v>
      </c>
      <c r="E1373" t="str">
        <f>VLOOKUP(D1373,'Tên SP'!B$2:C$1070,2,0)</f>
        <v>NƯỚC GIẶT LIX ĐẬM ĐẶC 3,6KG/C04</v>
      </c>
      <c r="F1373" s="4">
        <v>104400</v>
      </c>
      <c r="G1373">
        <v>1</v>
      </c>
      <c r="H1373" s="4">
        <v>104400</v>
      </c>
      <c r="I1373" s="4">
        <v>-9470</v>
      </c>
      <c r="J1373" s="5">
        <f t="shared" si="21"/>
        <v>94930</v>
      </c>
    </row>
    <row r="1374" spans="1:10" x14ac:dyDescent="0.25">
      <c r="A1374" s="6">
        <v>1385</v>
      </c>
      <c r="B1374" t="s">
        <v>2388</v>
      </c>
      <c r="C1374" t="s">
        <v>1133</v>
      </c>
      <c r="D1374" t="s">
        <v>102</v>
      </c>
      <c r="E1374" t="str">
        <f>VLOOKUP(D1374,'Tên SP'!B$2:C$1070,2,0)</f>
        <v>NƯỚC GIẶT LIX HƯƠNG NƯỚC HOA 3,5KG/T04 TÚI</v>
      </c>
      <c r="F1374" s="4">
        <v>88000</v>
      </c>
      <c r="G1374">
        <v>1</v>
      </c>
      <c r="H1374" s="4">
        <v>88000</v>
      </c>
      <c r="I1374" s="4">
        <v>-7983</v>
      </c>
      <c r="J1374" s="5">
        <f t="shared" si="21"/>
        <v>80017</v>
      </c>
    </row>
    <row r="1375" spans="1:10" x14ac:dyDescent="0.25">
      <c r="A1375" s="6">
        <v>1386</v>
      </c>
      <c r="B1375" t="s">
        <v>2388</v>
      </c>
      <c r="C1375" t="s">
        <v>1133</v>
      </c>
      <c r="D1375" t="s">
        <v>102</v>
      </c>
      <c r="E1375" t="str">
        <f>VLOOKUP(D1375,'Tên SP'!B$2:C$1070,2,0)</f>
        <v>NƯỚC GIẶT LIX HƯƠNG NƯỚC HOA 3,5KG/T04 TÚI</v>
      </c>
      <c r="F1375" s="4">
        <v>88000</v>
      </c>
      <c r="G1375">
        <v>1</v>
      </c>
      <c r="H1375" s="4">
        <v>88000</v>
      </c>
      <c r="I1375" s="4">
        <v>-7983</v>
      </c>
      <c r="J1375" s="5">
        <f t="shared" si="21"/>
        <v>80017</v>
      </c>
    </row>
    <row r="1376" spans="1:10" x14ac:dyDescent="0.25">
      <c r="A1376" s="6">
        <v>1387</v>
      </c>
      <c r="B1376" t="s">
        <v>2388</v>
      </c>
      <c r="C1376" t="s">
        <v>1133</v>
      </c>
      <c r="D1376" t="s">
        <v>102</v>
      </c>
      <c r="E1376" t="str">
        <f>VLOOKUP(D1376,'Tên SP'!B$2:C$1070,2,0)</f>
        <v>NƯỚC GIẶT LIX HƯƠNG NƯỚC HOA 3,5KG/T04 TÚI</v>
      </c>
      <c r="F1376" s="4">
        <v>88000</v>
      </c>
      <c r="G1376">
        <v>1</v>
      </c>
      <c r="H1376" s="4">
        <v>88000</v>
      </c>
      <c r="I1376" s="4">
        <v>-7982</v>
      </c>
      <c r="J1376" s="5">
        <f t="shared" si="21"/>
        <v>80018</v>
      </c>
    </row>
    <row r="1377" spans="1:10" x14ac:dyDescent="0.25">
      <c r="A1377" s="6">
        <v>1388</v>
      </c>
      <c r="B1377" t="s">
        <v>2388</v>
      </c>
      <c r="C1377" t="s">
        <v>1133</v>
      </c>
      <c r="D1377" t="s">
        <v>9</v>
      </c>
      <c r="E1377" t="str">
        <f>VLOOKUP(D1377,'Tên SP'!B$2:C$1070,2,0)</f>
        <v>NƯỚC GIẶT LIX ĐẬM ĐẶC 3,5KG/T04 TÚI</v>
      </c>
      <c r="F1377" s="4">
        <v>91400</v>
      </c>
      <c r="G1377">
        <v>1</v>
      </c>
      <c r="H1377" s="4">
        <v>91400</v>
      </c>
      <c r="I1377" s="4">
        <v>-8291</v>
      </c>
      <c r="J1377" s="5">
        <f t="shared" si="21"/>
        <v>83109</v>
      </c>
    </row>
    <row r="1378" spans="1:10" x14ac:dyDescent="0.25">
      <c r="A1378" s="6">
        <v>1389</v>
      </c>
      <c r="B1378" t="s">
        <v>2388</v>
      </c>
      <c r="C1378" t="s">
        <v>1133</v>
      </c>
      <c r="D1378" t="s">
        <v>9</v>
      </c>
      <c r="E1378" t="str">
        <f>VLOOKUP(D1378,'Tên SP'!B$2:C$1070,2,0)</f>
        <v>NƯỚC GIẶT LIX ĐẬM ĐẶC 3,5KG/T04 TÚI</v>
      </c>
      <c r="F1378" s="4">
        <v>91400</v>
      </c>
      <c r="G1378">
        <v>1</v>
      </c>
      <c r="H1378" s="4">
        <v>91400</v>
      </c>
      <c r="I1378" s="4">
        <v>-8291</v>
      </c>
      <c r="J1378" s="5">
        <f t="shared" si="21"/>
        <v>83109</v>
      </c>
    </row>
    <row r="1379" spans="1:10" x14ac:dyDescent="0.25">
      <c r="A1379" s="6">
        <v>1390</v>
      </c>
      <c r="B1379" t="s">
        <v>2388</v>
      </c>
      <c r="C1379" t="s">
        <v>1133</v>
      </c>
      <c r="D1379" t="s">
        <v>184</v>
      </c>
      <c r="E1379" t="str">
        <f>VLOOKUP(D1379,'Tên SP'!B$2:C$1070,2,0)</f>
        <v>GEL DIỆT KHUẨN TAY ON1 60ML/CH80</v>
      </c>
      <c r="F1379" s="4">
        <v>15000</v>
      </c>
      <c r="G1379">
        <v>1</v>
      </c>
      <c r="H1379" s="4">
        <v>15000</v>
      </c>
      <c r="I1379" s="4">
        <v>-15000</v>
      </c>
      <c r="J1379" s="5">
        <f t="shared" si="21"/>
        <v>0</v>
      </c>
    </row>
    <row r="1380" spans="1:10" x14ac:dyDescent="0.25">
      <c r="A1380" s="6">
        <v>1391</v>
      </c>
      <c r="B1380" t="s">
        <v>2389</v>
      </c>
      <c r="C1380" t="s">
        <v>1134</v>
      </c>
      <c r="D1380" t="s">
        <v>102</v>
      </c>
      <c r="E1380" t="str">
        <f>VLOOKUP(D1380,'Tên SP'!B$2:C$1070,2,0)</f>
        <v>NƯỚC GIẶT LIX HƯƠNG NƯỚC HOA 3,5KG/T04 TÚI</v>
      </c>
      <c r="F1380" s="4">
        <v>88000</v>
      </c>
      <c r="G1380">
        <v>1</v>
      </c>
      <c r="H1380" s="4">
        <v>88000</v>
      </c>
      <c r="I1380" s="4">
        <v>-6250</v>
      </c>
      <c r="J1380" s="5">
        <f t="shared" si="21"/>
        <v>81750</v>
      </c>
    </row>
    <row r="1381" spans="1:10" x14ac:dyDescent="0.25">
      <c r="A1381" s="6">
        <v>1392</v>
      </c>
      <c r="B1381" t="s">
        <v>2389</v>
      </c>
      <c r="C1381" t="s">
        <v>1134</v>
      </c>
      <c r="D1381" t="s">
        <v>102</v>
      </c>
      <c r="E1381" t="str">
        <f>VLOOKUP(D1381,'Tên SP'!B$2:C$1070,2,0)</f>
        <v>NƯỚC GIẶT LIX HƯƠNG NƯỚC HOA 3,5KG/T04 TÚI</v>
      </c>
      <c r="F1381" s="4">
        <v>88000</v>
      </c>
      <c r="G1381">
        <v>1</v>
      </c>
      <c r="H1381" s="4">
        <v>88000</v>
      </c>
      <c r="I1381" s="4">
        <v>-6250</v>
      </c>
      <c r="J1381" s="5">
        <f t="shared" si="21"/>
        <v>81750</v>
      </c>
    </row>
    <row r="1382" spans="1:10" x14ac:dyDescent="0.25">
      <c r="A1382" s="6">
        <v>1393</v>
      </c>
      <c r="B1382" t="s">
        <v>2389</v>
      </c>
      <c r="C1382" t="s">
        <v>1134</v>
      </c>
      <c r="D1382" t="s">
        <v>102</v>
      </c>
      <c r="E1382" t="str">
        <f>VLOOKUP(D1382,'Tên SP'!B$2:C$1070,2,0)</f>
        <v>NƯỚC GIẶT LIX HƯƠNG NƯỚC HOA 3,5KG/T04 TÚI</v>
      </c>
      <c r="F1382" s="4">
        <v>88000</v>
      </c>
      <c r="G1382">
        <v>1</v>
      </c>
      <c r="H1382" s="4">
        <v>88000</v>
      </c>
      <c r="I1382" s="4">
        <v>-6250</v>
      </c>
      <c r="J1382" s="5">
        <f t="shared" si="21"/>
        <v>81750</v>
      </c>
    </row>
    <row r="1383" spans="1:10" x14ac:dyDescent="0.25">
      <c r="A1383" s="6">
        <v>1394</v>
      </c>
      <c r="B1383" t="s">
        <v>2389</v>
      </c>
      <c r="C1383" t="s">
        <v>1134</v>
      </c>
      <c r="D1383" t="s">
        <v>102</v>
      </c>
      <c r="E1383" t="str">
        <f>VLOOKUP(D1383,'Tên SP'!B$2:C$1070,2,0)</f>
        <v>NƯỚC GIẶT LIX HƯƠNG NƯỚC HOA 3,5KG/T04 TÚI</v>
      </c>
      <c r="F1383" s="4">
        <v>88000</v>
      </c>
      <c r="G1383">
        <v>1</v>
      </c>
      <c r="H1383" s="4">
        <v>88000</v>
      </c>
      <c r="I1383" s="4">
        <v>-6250</v>
      </c>
      <c r="J1383" s="5">
        <f t="shared" si="21"/>
        <v>81750</v>
      </c>
    </row>
    <row r="1384" spans="1:10" x14ac:dyDescent="0.25">
      <c r="A1384" s="6">
        <v>1395</v>
      </c>
      <c r="B1384" t="s">
        <v>2389</v>
      </c>
      <c r="C1384" t="s">
        <v>1134</v>
      </c>
      <c r="D1384" t="s">
        <v>102</v>
      </c>
      <c r="E1384" t="str">
        <f>VLOOKUP(D1384,'Tên SP'!B$2:C$1070,2,0)</f>
        <v>NƯỚC GIẶT LIX HƯƠNG NƯỚC HOA 3,5KG/T04 TÚI</v>
      </c>
      <c r="F1384" s="4">
        <v>88000</v>
      </c>
      <c r="G1384">
        <v>1</v>
      </c>
      <c r="H1384" s="4">
        <v>88000</v>
      </c>
      <c r="I1384" s="4">
        <v>-6250</v>
      </c>
      <c r="J1384" s="5">
        <f t="shared" si="21"/>
        <v>81750</v>
      </c>
    </row>
    <row r="1385" spans="1:10" x14ac:dyDescent="0.25">
      <c r="A1385" s="6">
        <v>1396</v>
      </c>
      <c r="B1385" t="s">
        <v>2389</v>
      </c>
      <c r="C1385" t="s">
        <v>1134</v>
      </c>
      <c r="D1385" t="s">
        <v>102</v>
      </c>
      <c r="E1385" t="str">
        <f>VLOOKUP(D1385,'Tên SP'!B$2:C$1070,2,0)</f>
        <v>NƯỚC GIẶT LIX HƯƠNG NƯỚC HOA 3,5KG/T04 TÚI</v>
      </c>
      <c r="F1385" s="4">
        <v>88000</v>
      </c>
      <c r="G1385">
        <v>1</v>
      </c>
      <c r="H1385" s="4">
        <v>88000</v>
      </c>
      <c r="I1385" s="4">
        <v>-6250</v>
      </c>
      <c r="J1385" s="5">
        <f t="shared" si="21"/>
        <v>81750</v>
      </c>
    </row>
    <row r="1386" spans="1:10" x14ac:dyDescent="0.25">
      <c r="A1386" s="6">
        <v>1397</v>
      </c>
      <c r="B1386" t="s">
        <v>2389</v>
      </c>
      <c r="C1386" t="s">
        <v>1134</v>
      </c>
      <c r="D1386" t="s">
        <v>102</v>
      </c>
      <c r="E1386" t="str">
        <f>VLOOKUP(D1386,'Tên SP'!B$2:C$1070,2,0)</f>
        <v>NƯỚC GIẶT LIX HƯƠNG NƯỚC HOA 3,5KG/T04 TÚI</v>
      </c>
      <c r="F1386" s="4">
        <v>88000</v>
      </c>
      <c r="G1386">
        <v>1</v>
      </c>
      <c r="H1386" s="4">
        <v>88000</v>
      </c>
      <c r="I1386" s="4">
        <v>-6250</v>
      </c>
      <c r="J1386" s="5">
        <f t="shared" si="21"/>
        <v>81750</v>
      </c>
    </row>
    <row r="1387" spans="1:10" x14ac:dyDescent="0.25">
      <c r="A1387" s="6">
        <v>1398</v>
      </c>
      <c r="B1387" t="s">
        <v>2389</v>
      </c>
      <c r="C1387" t="s">
        <v>1134</v>
      </c>
      <c r="D1387" t="s">
        <v>102</v>
      </c>
      <c r="E1387" t="str">
        <f>VLOOKUP(D1387,'Tên SP'!B$2:C$1070,2,0)</f>
        <v>NƯỚC GIẶT LIX HƯƠNG NƯỚC HOA 3,5KG/T04 TÚI</v>
      </c>
      <c r="F1387" s="4">
        <v>88000</v>
      </c>
      <c r="G1387">
        <v>1</v>
      </c>
      <c r="H1387" s="4">
        <v>88000</v>
      </c>
      <c r="I1387" s="4">
        <v>-6250</v>
      </c>
      <c r="J1387" s="5">
        <f t="shared" si="21"/>
        <v>81750</v>
      </c>
    </row>
    <row r="1388" spans="1:10" x14ac:dyDescent="0.25">
      <c r="A1388" s="6">
        <v>1399</v>
      </c>
      <c r="B1388" t="s">
        <v>2389</v>
      </c>
      <c r="C1388" t="s">
        <v>1134</v>
      </c>
      <c r="D1388" t="s">
        <v>184</v>
      </c>
      <c r="E1388" t="str">
        <f>VLOOKUP(D1388,'Tên SP'!B$2:C$1070,2,0)</f>
        <v>GEL DIỆT KHUẨN TAY ON1 60ML/CH80</v>
      </c>
      <c r="F1388" s="4">
        <v>15000</v>
      </c>
      <c r="G1388">
        <v>1</v>
      </c>
      <c r="H1388" s="4">
        <v>15000</v>
      </c>
      <c r="I1388" s="4">
        <v>-15000</v>
      </c>
      <c r="J1388" s="5">
        <f t="shared" si="21"/>
        <v>0</v>
      </c>
    </row>
    <row r="1389" spans="1:10" x14ac:dyDescent="0.25">
      <c r="A1389" s="6">
        <v>1400</v>
      </c>
      <c r="B1389" t="s">
        <v>2390</v>
      </c>
      <c r="C1389" t="s">
        <v>1135</v>
      </c>
      <c r="D1389" t="s">
        <v>102</v>
      </c>
      <c r="E1389" t="str">
        <f>VLOOKUP(D1389,'Tên SP'!B$2:C$1070,2,0)</f>
        <v>NƯỚC GIẶT LIX HƯƠNG NƯỚC HOA 3,5KG/T04 TÚI</v>
      </c>
      <c r="F1389" s="4">
        <v>88000</v>
      </c>
      <c r="G1389">
        <v>1</v>
      </c>
      <c r="H1389" s="4">
        <v>88000</v>
      </c>
      <c r="I1389" s="4">
        <v>0</v>
      </c>
      <c r="J1389" s="5">
        <f t="shared" si="21"/>
        <v>88000</v>
      </c>
    </row>
    <row r="1390" spans="1:10" x14ac:dyDescent="0.25">
      <c r="A1390" s="6">
        <v>1401</v>
      </c>
      <c r="B1390" t="s">
        <v>2391</v>
      </c>
      <c r="C1390" t="s">
        <v>1136</v>
      </c>
      <c r="D1390" t="s">
        <v>102</v>
      </c>
      <c r="E1390" t="str">
        <f>VLOOKUP(D1390,'Tên SP'!B$2:C$1070,2,0)</f>
        <v>NƯỚC GIẶT LIX HƯƠNG NƯỚC HOA 3,5KG/T04 TÚI</v>
      </c>
      <c r="F1390" s="4">
        <v>88000</v>
      </c>
      <c r="G1390">
        <v>1</v>
      </c>
      <c r="H1390" s="4">
        <v>88000</v>
      </c>
      <c r="I1390" s="4">
        <v>0</v>
      </c>
      <c r="J1390" s="5">
        <f t="shared" si="21"/>
        <v>88000</v>
      </c>
    </row>
    <row r="1391" spans="1:10" x14ac:dyDescent="0.25">
      <c r="A1391" s="6">
        <v>1402</v>
      </c>
      <c r="B1391" t="s">
        <v>2392</v>
      </c>
      <c r="C1391" t="s">
        <v>1137</v>
      </c>
      <c r="D1391" t="s">
        <v>102</v>
      </c>
      <c r="E1391" t="str">
        <f>VLOOKUP(D1391,'Tên SP'!B$2:C$1070,2,0)</f>
        <v>NƯỚC GIẶT LIX HƯƠNG NƯỚC HOA 3,5KG/T04 TÚI</v>
      </c>
      <c r="F1391" s="4">
        <v>88000</v>
      </c>
      <c r="G1391">
        <v>1</v>
      </c>
      <c r="H1391" s="4">
        <v>88000</v>
      </c>
      <c r="I1391" s="4">
        <v>0</v>
      </c>
      <c r="J1391" s="5">
        <f t="shared" si="21"/>
        <v>88000</v>
      </c>
    </row>
    <row r="1392" spans="1:10" x14ac:dyDescent="0.25">
      <c r="A1392" s="6">
        <v>1403</v>
      </c>
      <c r="B1392" t="s">
        <v>2393</v>
      </c>
      <c r="C1392" t="s">
        <v>1138</v>
      </c>
      <c r="D1392" t="s">
        <v>94</v>
      </c>
      <c r="E1392" t="str">
        <f>VLOOKUP(D1392,'Tên SP'!B$2:C$1070,2,0)</f>
        <v>NƯỚC LAU SÀN ĐUỔI CÔN TRÙNG LIX 2L/C08</v>
      </c>
      <c r="F1392" s="4">
        <v>47900</v>
      </c>
      <c r="G1392">
        <v>1</v>
      </c>
      <c r="H1392" s="4">
        <v>47900</v>
      </c>
      <c r="I1392" s="4">
        <v>0</v>
      </c>
      <c r="J1392" s="5">
        <f t="shared" si="21"/>
        <v>47900</v>
      </c>
    </row>
    <row r="1393" spans="1:10" x14ac:dyDescent="0.25">
      <c r="A1393" s="6">
        <v>1404</v>
      </c>
      <c r="B1393" t="s">
        <v>2394</v>
      </c>
      <c r="C1393" t="s">
        <v>1139</v>
      </c>
      <c r="D1393" t="s">
        <v>102</v>
      </c>
      <c r="E1393" t="str">
        <f>VLOOKUP(D1393,'Tên SP'!B$2:C$1070,2,0)</f>
        <v>NƯỚC GIẶT LIX HƯƠNG NƯỚC HOA 3,5KG/T04 TÚI</v>
      </c>
      <c r="F1393" s="4">
        <v>88000</v>
      </c>
      <c r="G1393">
        <v>1</v>
      </c>
      <c r="H1393" s="4">
        <v>88000</v>
      </c>
      <c r="I1393" s="4">
        <v>0</v>
      </c>
      <c r="J1393" s="5">
        <f t="shared" si="21"/>
        <v>88000</v>
      </c>
    </row>
    <row r="1394" spans="1:10" x14ac:dyDescent="0.25">
      <c r="A1394" s="6">
        <v>1405</v>
      </c>
      <c r="B1394" t="s">
        <v>2395</v>
      </c>
      <c r="C1394" t="s">
        <v>1140</v>
      </c>
      <c r="D1394" t="s">
        <v>83</v>
      </c>
      <c r="E1394" t="str">
        <f>VLOOKUP(D1394,'Tên SP'!B$2:C$1070,2,0)</f>
        <v>NƯỚC RỬA CHÉN SIÊU SẠCH TRÀ 1,5KG/T08- TÚI</v>
      </c>
      <c r="F1394" s="4">
        <v>34000</v>
      </c>
      <c r="G1394">
        <v>1</v>
      </c>
      <c r="H1394" s="4">
        <v>34000</v>
      </c>
      <c r="I1394" s="4">
        <v>-1957</v>
      </c>
      <c r="J1394" s="5">
        <f t="shared" si="21"/>
        <v>32043</v>
      </c>
    </row>
    <row r="1395" spans="1:10" x14ac:dyDescent="0.25">
      <c r="A1395" s="6">
        <v>1406</v>
      </c>
      <c r="B1395" t="s">
        <v>2395</v>
      </c>
      <c r="C1395" t="s">
        <v>1140</v>
      </c>
      <c r="D1395" t="s">
        <v>67</v>
      </c>
      <c r="E1395" t="str">
        <f>VLOOKUP(D1395,'Tên SP'!B$2:C$1070,2,0)</f>
        <v>BỘT GIẶT LIX DD HƯƠNG NƯỚC HOA 800G/12</v>
      </c>
      <c r="F1395" s="4">
        <v>25300</v>
      </c>
      <c r="G1395">
        <v>1</v>
      </c>
      <c r="H1395" s="4">
        <v>25300</v>
      </c>
      <c r="I1395" s="4">
        <v>-1457</v>
      </c>
      <c r="J1395" s="5">
        <f t="shared" si="21"/>
        <v>23843</v>
      </c>
    </row>
    <row r="1396" spans="1:10" x14ac:dyDescent="0.25">
      <c r="A1396" s="6">
        <v>1407</v>
      </c>
      <c r="B1396" t="s">
        <v>2395</v>
      </c>
      <c r="C1396" t="s">
        <v>1140</v>
      </c>
      <c r="D1396" t="s">
        <v>67</v>
      </c>
      <c r="E1396" t="str">
        <f>VLOOKUP(D1396,'Tên SP'!B$2:C$1070,2,0)</f>
        <v>BỘT GIẶT LIX DD HƯƠNG NƯỚC HOA 800G/12</v>
      </c>
      <c r="F1396" s="4">
        <v>25300</v>
      </c>
      <c r="G1396">
        <v>1</v>
      </c>
      <c r="H1396" s="4">
        <v>25300</v>
      </c>
      <c r="I1396" s="4">
        <v>-1456</v>
      </c>
      <c r="J1396" s="5">
        <f t="shared" si="21"/>
        <v>23844</v>
      </c>
    </row>
    <row r="1397" spans="1:10" x14ac:dyDescent="0.25">
      <c r="A1397" s="6">
        <v>1408</v>
      </c>
      <c r="B1397" t="s">
        <v>2395</v>
      </c>
      <c r="C1397" t="s">
        <v>1140</v>
      </c>
      <c r="D1397" t="s">
        <v>102</v>
      </c>
      <c r="E1397" t="str">
        <f>VLOOKUP(D1397,'Tên SP'!B$2:C$1070,2,0)</f>
        <v>NƯỚC GIẶT LIX HƯƠNG NƯỚC HOA 3,5KG/T04 TÚI</v>
      </c>
      <c r="F1397" s="4">
        <v>88000</v>
      </c>
      <c r="G1397">
        <v>1</v>
      </c>
      <c r="H1397" s="4">
        <v>88000</v>
      </c>
      <c r="I1397" s="4">
        <v>-5065</v>
      </c>
      <c r="J1397" s="5">
        <f t="shared" si="21"/>
        <v>82935</v>
      </c>
    </row>
    <row r="1398" spans="1:10" x14ac:dyDescent="0.25">
      <c r="A1398" s="6">
        <v>1409</v>
      </c>
      <c r="B1398" t="s">
        <v>2395</v>
      </c>
      <c r="C1398" t="s">
        <v>1140</v>
      </c>
      <c r="D1398" t="s">
        <v>102</v>
      </c>
      <c r="E1398" t="str">
        <f>VLOOKUP(D1398,'Tên SP'!B$2:C$1070,2,0)</f>
        <v>NƯỚC GIẶT LIX HƯƠNG NƯỚC HOA 3,5KG/T04 TÚI</v>
      </c>
      <c r="F1398" s="4">
        <v>88000</v>
      </c>
      <c r="G1398">
        <v>1</v>
      </c>
      <c r="H1398" s="4">
        <v>88000</v>
      </c>
      <c r="I1398" s="4">
        <v>-5065</v>
      </c>
      <c r="J1398" s="5">
        <f t="shared" si="21"/>
        <v>82935</v>
      </c>
    </row>
    <row r="1399" spans="1:10" x14ac:dyDescent="0.25">
      <c r="A1399" s="6">
        <v>1410</v>
      </c>
      <c r="B1399" t="s">
        <v>2395</v>
      </c>
      <c r="C1399" t="s">
        <v>1140</v>
      </c>
      <c r="D1399" t="s">
        <v>184</v>
      </c>
      <c r="E1399" t="str">
        <f>VLOOKUP(D1399,'Tên SP'!B$2:C$1070,2,0)</f>
        <v>GEL DIỆT KHUẨN TAY ON1 60ML/CH80</v>
      </c>
      <c r="F1399" s="4">
        <v>15000</v>
      </c>
      <c r="G1399">
        <v>1</v>
      </c>
      <c r="H1399" s="4">
        <v>15000</v>
      </c>
      <c r="I1399" s="4">
        <v>-15000</v>
      </c>
      <c r="J1399" s="5">
        <f t="shared" ref="J1399:J1462" si="22">H1399+I1399</f>
        <v>0</v>
      </c>
    </row>
    <row r="1400" spans="1:10" x14ac:dyDescent="0.25">
      <c r="A1400" s="6">
        <v>1411</v>
      </c>
      <c r="B1400" t="s">
        <v>2396</v>
      </c>
      <c r="C1400" t="s">
        <v>1141</v>
      </c>
      <c r="D1400" t="s">
        <v>102</v>
      </c>
      <c r="E1400" t="str">
        <f>VLOOKUP(D1400,'Tên SP'!B$2:C$1070,2,0)</f>
        <v>NƯỚC GIẶT LIX HƯƠNG NƯỚC HOA 3,5KG/T04 TÚI</v>
      </c>
      <c r="F1400" s="4">
        <v>88000</v>
      </c>
      <c r="G1400">
        <v>1</v>
      </c>
      <c r="H1400" s="4">
        <v>88000</v>
      </c>
      <c r="I1400" s="4">
        <v>0</v>
      </c>
      <c r="J1400" s="5">
        <f t="shared" si="22"/>
        <v>88000</v>
      </c>
    </row>
    <row r="1401" spans="1:10" x14ac:dyDescent="0.25">
      <c r="A1401" s="6">
        <v>1412</v>
      </c>
      <c r="B1401" t="s">
        <v>2397</v>
      </c>
      <c r="C1401" t="s">
        <v>1142</v>
      </c>
      <c r="D1401" t="s">
        <v>102</v>
      </c>
      <c r="E1401" t="str">
        <f>VLOOKUP(D1401,'Tên SP'!B$2:C$1070,2,0)</f>
        <v>NƯỚC GIẶT LIX HƯƠNG NƯỚC HOA 3,5KG/T04 TÚI</v>
      </c>
      <c r="F1401" s="4">
        <v>88000</v>
      </c>
      <c r="G1401">
        <v>1</v>
      </c>
      <c r="H1401" s="4">
        <v>88000</v>
      </c>
      <c r="I1401" s="4">
        <v>-13233</v>
      </c>
      <c r="J1401" s="5">
        <f t="shared" si="22"/>
        <v>74767</v>
      </c>
    </row>
    <row r="1402" spans="1:10" x14ac:dyDescent="0.25">
      <c r="A1402" s="6">
        <v>1413</v>
      </c>
      <c r="B1402" t="s">
        <v>2397</v>
      </c>
      <c r="C1402" t="s">
        <v>1142</v>
      </c>
      <c r="D1402" t="s">
        <v>94</v>
      </c>
      <c r="E1402" t="str">
        <f>VLOOKUP(D1402,'Tên SP'!B$2:C$1070,2,0)</f>
        <v>NƯỚC LAU SÀN ĐUỔI CÔN TRÙNG LIX 2L/C08</v>
      </c>
      <c r="F1402" s="4">
        <v>47900</v>
      </c>
      <c r="G1402">
        <v>1</v>
      </c>
      <c r="H1402" s="4">
        <v>47900</v>
      </c>
      <c r="I1402" s="4">
        <v>-7203</v>
      </c>
      <c r="J1402" s="5">
        <f t="shared" si="22"/>
        <v>40697</v>
      </c>
    </row>
    <row r="1403" spans="1:10" x14ac:dyDescent="0.25">
      <c r="A1403" s="6">
        <v>1414</v>
      </c>
      <c r="B1403" t="s">
        <v>2398</v>
      </c>
      <c r="C1403" t="s">
        <v>1143</v>
      </c>
      <c r="D1403" t="s">
        <v>102</v>
      </c>
      <c r="E1403" t="str">
        <f>VLOOKUP(D1403,'Tên SP'!B$2:C$1070,2,0)</f>
        <v>NƯỚC GIẶT LIX HƯƠNG NƯỚC HOA 3,5KG/T04 TÚI</v>
      </c>
      <c r="F1403" s="4">
        <v>88000</v>
      </c>
      <c r="G1403">
        <v>1</v>
      </c>
      <c r="H1403" s="4">
        <v>88000</v>
      </c>
      <c r="I1403" s="4">
        <v>-13200</v>
      </c>
      <c r="J1403" s="5">
        <f t="shared" si="22"/>
        <v>74800</v>
      </c>
    </row>
    <row r="1404" spans="1:10" x14ac:dyDescent="0.25">
      <c r="A1404" s="6">
        <v>1415</v>
      </c>
      <c r="B1404" t="s">
        <v>2399</v>
      </c>
      <c r="C1404" t="s">
        <v>1144</v>
      </c>
      <c r="D1404" t="s">
        <v>102</v>
      </c>
      <c r="E1404" t="str">
        <f>VLOOKUP(D1404,'Tên SP'!B$2:C$1070,2,0)</f>
        <v>NƯỚC GIẶT LIX HƯƠNG NƯỚC HOA 3,5KG/T04 TÚI</v>
      </c>
      <c r="F1404" s="4">
        <v>88000</v>
      </c>
      <c r="G1404">
        <v>1</v>
      </c>
      <c r="H1404" s="4">
        <v>88000</v>
      </c>
      <c r="I1404" s="4">
        <v>0</v>
      </c>
      <c r="J1404" s="5">
        <f t="shared" si="22"/>
        <v>88000</v>
      </c>
    </row>
    <row r="1405" spans="1:10" x14ac:dyDescent="0.25">
      <c r="A1405" s="6">
        <v>1416</v>
      </c>
      <c r="B1405" t="s">
        <v>2400</v>
      </c>
      <c r="C1405" t="s">
        <v>1145</v>
      </c>
      <c r="D1405" t="s">
        <v>9</v>
      </c>
      <c r="E1405" t="str">
        <f>VLOOKUP(D1405,'Tên SP'!B$2:C$1070,2,0)</f>
        <v>NƯỚC GIẶT LIX ĐẬM ĐẶC 3,5KG/T04 TÚI</v>
      </c>
      <c r="F1405" s="4">
        <v>91400</v>
      </c>
      <c r="G1405">
        <v>1</v>
      </c>
      <c r="H1405" s="4">
        <v>91400</v>
      </c>
      <c r="I1405" s="4">
        <v>-13710</v>
      </c>
      <c r="J1405" s="5">
        <f t="shared" si="22"/>
        <v>77690</v>
      </c>
    </row>
    <row r="1406" spans="1:10" x14ac:dyDescent="0.25">
      <c r="A1406" s="6">
        <v>1417</v>
      </c>
      <c r="B1406" t="s">
        <v>2401</v>
      </c>
      <c r="C1406" t="s">
        <v>1146</v>
      </c>
      <c r="D1406" t="s">
        <v>104</v>
      </c>
      <c r="E1406" t="str">
        <f>VLOOKUP(D1406,'Tên SP'!B$2:C$1070,2,0)</f>
        <v>NƯỚC GIẶT LIX ĐẬM ĐẶC 2KG/C06</v>
      </c>
      <c r="F1406" s="4">
        <v>60100</v>
      </c>
      <c r="G1406">
        <v>1</v>
      </c>
      <c r="H1406" s="4">
        <v>60100</v>
      </c>
      <c r="I1406" s="4">
        <v>-2404</v>
      </c>
      <c r="J1406" s="5">
        <f t="shared" si="22"/>
        <v>57696</v>
      </c>
    </row>
    <row r="1407" spans="1:10" x14ac:dyDescent="0.25">
      <c r="A1407" s="6">
        <v>1418</v>
      </c>
      <c r="B1407" t="s">
        <v>2401</v>
      </c>
      <c r="C1407" t="s">
        <v>1146</v>
      </c>
      <c r="D1407" t="s">
        <v>28</v>
      </c>
      <c r="E1407" t="str">
        <f>VLOOKUP(D1407,'Tên SP'!B$2:C$1070,2,0)</f>
        <v>NƯỚC XẢ VẢI LIXSOFT HƯƠNG HOA HỒNG 3,6L/C04</v>
      </c>
      <c r="F1407" s="4">
        <v>80100</v>
      </c>
      <c r="G1407">
        <v>1</v>
      </c>
      <c r="H1407" s="4">
        <v>80100</v>
      </c>
      <c r="I1407" s="4">
        <v>-3204</v>
      </c>
      <c r="J1407" s="5">
        <f t="shared" si="22"/>
        <v>76896</v>
      </c>
    </row>
    <row r="1408" spans="1:10" x14ac:dyDescent="0.25">
      <c r="A1408" s="6">
        <v>1419</v>
      </c>
      <c r="B1408" t="s">
        <v>2402</v>
      </c>
      <c r="C1408" t="s">
        <v>1147</v>
      </c>
      <c r="D1408" t="s">
        <v>208</v>
      </c>
      <c r="E1408" t="str">
        <f>VLOOKUP(D1408,'Tên SP'!B$2:C$1070,2,0)</f>
        <v>NƯỚC GIẶT LIX MATIC HƯƠNG BAMBOO 3,6KG/C04</v>
      </c>
      <c r="F1408" s="4">
        <v>121800</v>
      </c>
      <c r="G1408">
        <v>1</v>
      </c>
      <c r="H1408" s="4">
        <v>121800</v>
      </c>
      <c r="I1408" s="4">
        <v>-15000</v>
      </c>
      <c r="J1408" s="5">
        <f t="shared" si="22"/>
        <v>106800</v>
      </c>
    </row>
    <row r="1409" spans="1:10" x14ac:dyDescent="0.25">
      <c r="A1409" s="6">
        <v>1420</v>
      </c>
      <c r="B1409" t="s">
        <v>2403</v>
      </c>
      <c r="C1409" t="s">
        <v>1148</v>
      </c>
      <c r="D1409" t="s">
        <v>9</v>
      </c>
      <c r="E1409" t="str">
        <f>VLOOKUP(D1409,'Tên SP'!B$2:C$1070,2,0)</f>
        <v>NƯỚC GIẶT LIX ĐẬM ĐẶC 3,5KG/T04 TÚI</v>
      </c>
      <c r="F1409" s="4">
        <v>91400</v>
      </c>
      <c r="G1409">
        <v>1</v>
      </c>
      <c r="H1409" s="4">
        <v>91400</v>
      </c>
      <c r="I1409" s="4">
        <v>0</v>
      </c>
      <c r="J1409" s="5">
        <f t="shared" si="22"/>
        <v>91400</v>
      </c>
    </row>
    <row r="1410" spans="1:10" x14ac:dyDescent="0.25">
      <c r="A1410" s="6">
        <v>1421</v>
      </c>
      <c r="B1410" t="s">
        <v>2404</v>
      </c>
      <c r="C1410" t="s">
        <v>1149</v>
      </c>
      <c r="D1410" t="s">
        <v>166</v>
      </c>
      <c r="E1410" t="str">
        <f>VLOOKUP(D1410,'Tên SP'!B$2:C$1070,2,0)</f>
        <v xml:space="preserve">NƯỚC TẨY QUẦN ÁO MÀU ON1 PURPLE FRESHNES 800G/CH12 </v>
      </c>
      <c r="F1410" s="4">
        <v>43000</v>
      </c>
      <c r="G1410">
        <v>1</v>
      </c>
      <c r="H1410" s="4">
        <v>43000</v>
      </c>
      <c r="I1410" s="4">
        <v>-1848</v>
      </c>
      <c r="J1410" s="5">
        <f t="shared" si="22"/>
        <v>41152</v>
      </c>
    </row>
    <row r="1411" spans="1:10" x14ac:dyDescent="0.25">
      <c r="A1411" s="6">
        <v>1422</v>
      </c>
      <c r="B1411" t="s">
        <v>2404</v>
      </c>
      <c r="C1411" t="s">
        <v>1149</v>
      </c>
      <c r="D1411" t="s">
        <v>28</v>
      </c>
      <c r="E1411" t="str">
        <f>VLOOKUP(D1411,'Tên SP'!B$2:C$1070,2,0)</f>
        <v>NƯỚC XẢ VẢI LIXSOFT HƯƠNG HOA HỒNG 3,6L/C04</v>
      </c>
      <c r="F1411" s="4">
        <v>89000</v>
      </c>
      <c r="G1411">
        <v>1</v>
      </c>
      <c r="H1411" s="4">
        <v>89000</v>
      </c>
      <c r="I1411" s="4">
        <v>-3825</v>
      </c>
      <c r="J1411" s="5">
        <f t="shared" si="22"/>
        <v>85175</v>
      </c>
    </row>
    <row r="1412" spans="1:10" x14ac:dyDescent="0.25">
      <c r="A1412" s="6">
        <v>1423</v>
      </c>
      <c r="B1412" t="s">
        <v>2404</v>
      </c>
      <c r="C1412" t="s">
        <v>1149</v>
      </c>
      <c r="D1412" t="s">
        <v>75</v>
      </c>
      <c r="E1412" t="str">
        <f>VLOOKUP(D1412,'Tên SP'!B$2:C$1070,2,0)</f>
        <v>NƯỚC RỬA CHÉN SIÊU SẠCH CHANH 3,6KG/C04</v>
      </c>
      <c r="F1412" s="4">
        <v>76000</v>
      </c>
      <c r="G1412">
        <v>1</v>
      </c>
      <c r="H1412" s="4">
        <v>76000</v>
      </c>
      <c r="I1412" s="4">
        <v>-3267</v>
      </c>
      <c r="J1412" s="5">
        <f t="shared" si="22"/>
        <v>72733</v>
      </c>
    </row>
    <row r="1413" spans="1:10" x14ac:dyDescent="0.25">
      <c r="A1413" s="6">
        <v>1424</v>
      </c>
      <c r="B1413" t="s">
        <v>2404</v>
      </c>
      <c r="C1413" t="s">
        <v>1149</v>
      </c>
      <c r="D1413" t="s">
        <v>38</v>
      </c>
      <c r="E1413" t="str">
        <f>VLOOKUP(D1413,'Tên SP'!B$2:C$1070,2,0)</f>
        <v>BỘT GIẶT LIXE HƯƠNG NƯỚC HOA 5,5KG/03</v>
      </c>
      <c r="F1413" s="4">
        <v>141000</v>
      </c>
      <c r="G1413">
        <v>1</v>
      </c>
      <c r="H1413" s="4">
        <v>141000</v>
      </c>
      <c r="I1413" s="4">
        <v>-6060</v>
      </c>
      <c r="J1413" s="5">
        <f t="shared" si="22"/>
        <v>134940</v>
      </c>
    </row>
    <row r="1414" spans="1:10" x14ac:dyDescent="0.25">
      <c r="A1414" s="6">
        <v>1425</v>
      </c>
      <c r="B1414" t="s">
        <v>2404</v>
      </c>
      <c r="C1414" t="s">
        <v>1149</v>
      </c>
      <c r="D1414" t="s">
        <v>184</v>
      </c>
      <c r="E1414" t="str">
        <f>VLOOKUP(D1414,'Tên SP'!B$2:C$1070,2,0)</f>
        <v>GEL DIỆT KHUẨN TAY ON1 60ML/CH80</v>
      </c>
      <c r="F1414" s="4">
        <v>24000</v>
      </c>
      <c r="G1414">
        <v>1</v>
      </c>
      <c r="H1414" s="4">
        <v>24000</v>
      </c>
      <c r="I1414" s="4">
        <v>-24000</v>
      </c>
      <c r="J1414" s="5">
        <f t="shared" si="22"/>
        <v>0</v>
      </c>
    </row>
    <row r="1415" spans="1:10" x14ac:dyDescent="0.25">
      <c r="A1415" s="6">
        <v>1426</v>
      </c>
      <c r="B1415" t="s">
        <v>2405</v>
      </c>
      <c r="C1415" t="s">
        <v>1150</v>
      </c>
      <c r="D1415" t="s">
        <v>58</v>
      </c>
      <c r="E1415" t="str">
        <f>VLOOKUP(D1415,'Tên SP'!B$2:C$1070,2,0)</f>
        <v>BỘT GIẶT LIX DD CHỐNG LEM MÀU 5,5KG/03</v>
      </c>
      <c r="F1415" s="4">
        <v>155000</v>
      </c>
      <c r="G1415">
        <v>1</v>
      </c>
      <c r="H1415" s="4">
        <v>155000</v>
      </c>
      <c r="I1415" s="4">
        <v>-50000</v>
      </c>
      <c r="J1415" s="5">
        <f t="shared" si="22"/>
        <v>105000</v>
      </c>
    </row>
    <row r="1416" spans="1:10" x14ac:dyDescent="0.25">
      <c r="A1416" s="6">
        <v>1427</v>
      </c>
      <c r="B1416" t="s">
        <v>2406</v>
      </c>
      <c r="C1416" t="s">
        <v>1151</v>
      </c>
      <c r="D1416" t="s">
        <v>92</v>
      </c>
      <c r="E1416" t="str">
        <f>VLOOKUP(D1416,'Tên SP'!B$2:C$1070,2,0)</f>
        <v>NƯỚC LAU SÀN LILY &amp; HOA HỒNG LIX 3.6L/C04</v>
      </c>
      <c r="F1416" s="4">
        <v>82000</v>
      </c>
      <c r="G1416">
        <v>1</v>
      </c>
      <c r="H1416" s="4">
        <v>82000</v>
      </c>
      <c r="I1416" s="4">
        <v>-28280</v>
      </c>
      <c r="J1416" s="5">
        <f t="shared" si="22"/>
        <v>53720</v>
      </c>
    </row>
    <row r="1417" spans="1:10" x14ac:dyDescent="0.25">
      <c r="A1417" s="6">
        <v>1428</v>
      </c>
      <c r="B1417" t="s">
        <v>2406</v>
      </c>
      <c r="C1417" t="s">
        <v>1151</v>
      </c>
      <c r="D1417" t="s">
        <v>91</v>
      </c>
      <c r="E1417" t="str">
        <f>VLOOKUP(D1417,'Tên SP'!B$2:C$1070,2,0)</f>
        <v>NƯỚC LAU SÀN NẮNG HẠ LIX 3.6L/C04</v>
      </c>
      <c r="F1417" s="4">
        <v>82000</v>
      </c>
      <c r="G1417">
        <v>1</v>
      </c>
      <c r="H1417" s="4">
        <v>82000</v>
      </c>
      <c r="I1417" s="4">
        <v>-28280</v>
      </c>
      <c r="J1417" s="5">
        <f t="shared" si="22"/>
        <v>53720</v>
      </c>
    </row>
    <row r="1418" spans="1:10" x14ac:dyDescent="0.25">
      <c r="A1418" s="6">
        <v>1429</v>
      </c>
      <c r="B1418" t="s">
        <v>2407</v>
      </c>
      <c r="C1418" t="s">
        <v>1152</v>
      </c>
      <c r="D1418" t="s">
        <v>106</v>
      </c>
      <c r="E1418" t="str">
        <f>VLOOKUP(D1418,'Tên SP'!B$2:C$1070,2,0)</f>
        <v>NƯỚC GIẶT LIX SIÊU SẠCH HOA ANH ĐÀO 2.4KG/T06</v>
      </c>
      <c r="F1418" s="4">
        <v>69000</v>
      </c>
      <c r="G1418">
        <v>1</v>
      </c>
      <c r="H1418" s="4">
        <v>69000</v>
      </c>
      <c r="I1418" s="4">
        <v>-2760</v>
      </c>
      <c r="J1418" s="5">
        <f t="shared" si="22"/>
        <v>66240</v>
      </c>
    </row>
    <row r="1419" spans="1:10" x14ac:dyDescent="0.25">
      <c r="A1419" s="6">
        <v>1430</v>
      </c>
      <c r="B1419" t="s">
        <v>2407</v>
      </c>
      <c r="C1419" t="s">
        <v>1152</v>
      </c>
      <c r="D1419" t="s">
        <v>106</v>
      </c>
      <c r="E1419" t="str">
        <f>VLOOKUP(D1419,'Tên SP'!B$2:C$1070,2,0)</f>
        <v>NƯỚC GIẶT LIX SIÊU SẠCH HOA ANH ĐÀO 2.4KG/T06</v>
      </c>
      <c r="F1419" s="4">
        <v>69000</v>
      </c>
      <c r="G1419">
        <v>1</v>
      </c>
      <c r="H1419" s="4">
        <v>69000</v>
      </c>
      <c r="I1419" s="4">
        <v>-2760</v>
      </c>
      <c r="J1419" s="5">
        <f t="shared" si="22"/>
        <v>66240</v>
      </c>
    </row>
    <row r="1420" spans="1:10" x14ac:dyDescent="0.25">
      <c r="A1420" s="6">
        <v>1431</v>
      </c>
      <c r="B1420" t="s">
        <v>2408</v>
      </c>
      <c r="C1420" t="s">
        <v>1153</v>
      </c>
      <c r="D1420" t="s">
        <v>102</v>
      </c>
      <c r="E1420" t="str">
        <f>VLOOKUP(D1420,'Tên SP'!B$2:C$1070,2,0)</f>
        <v>NƯỚC GIẶT LIX HƯƠNG NƯỚC HOA 3,5KG/T04 TÚI</v>
      </c>
      <c r="F1420" s="4">
        <v>91350</v>
      </c>
      <c r="G1420">
        <v>1</v>
      </c>
      <c r="H1420" s="4">
        <v>91350</v>
      </c>
      <c r="I1420" s="4">
        <v>-8000</v>
      </c>
      <c r="J1420" s="5">
        <f t="shared" si="22"/>
        <v>83350</v>
      </c>
    </row>
    <row r="1421" spans="1:10" x14ac:dyDescent="0.25">
      <c r="A1421" s="6">
        <v>1432</v>
      </c>
      <c r="B1421" t="s">
        <v>2409</v>
      </c>
      <c r="C1421" t="s">
        <v>1154</v>
      </c>
      <c r="D1421" t="s">
        <v>71</v>
      </c>
      <c r="E1421" t="str">
        <f>VLOOKUP(D1421,'Tên SP'!B$2:C$1070,2,0)</f>
        <v>NƯỚC RỬA CHÉN SIÊU SẠCH CHANH 3,5KG/T04- TÚI</v>
      </c>
      <c r="F1421" s="4">
        <v>73000</v>
      </c>
      <c r="G1421">
        <v>1</v>
      </c>
      <c r="H1421" s="4">
        <v>73000</v>
      </c>
      <c r="I1421" s="4">
        <v>-10950</v>
      </c>
      <c r="J1421" s="5">
        <f t="shared" si="22"/>
        <v>62050</v>
      </c>
    </row>
    <row r="1422" spans="1:10" x14ac:dyDescent="0.25">
      <c r="A1422" s="6">
        <v>1433</v>
      </c>
      <c r="B1422" t="s">
        <v>2410</v>
      </c>
      <c r="C1422" t="s">
        <v>1155</v>
      </c>
      <c r="D1422" t="s">
        <v>28</v>
      </c>
      <c r="E1422" t="str">
        <f>VLOOKUP(D1422,'Tên SP'!B$2:C$1070,2,0)</f>
        <v>NƯỚC XẢ VẢI LIXSOFT HƯƠNG HOA HỒNG 3,6L/C04</v>
      </c>
      <c r="F1422" s="4">
        <v>89000</v>
      </c>
      <c r="G1422">
        <v>1</v>
      </c>
      <c r="H1422" s="4">
        <v>89000</v>
      </c>
      <c r="I1422" s="4">
        <v>-13350</v>
      </c>
      <c r="J1422" s="5">
        <f t="shared" si="22"/>
        <v>75650</v>
      </c>
    </row>
    <row r="1423" spans="1:10" x14ac:dyDescent="0.25">
      <c r="A1423" s="6">
        <v>1434</v>
      </c>
      <c r="B1423" t="s">
        <v>2411</v>
      </c>
      <c r="C1423" t="s">
        <v>1156</v>
      </c>
      <c r="D1423" t="s">
        <v>23</v>
      </c>
      <c r="E1423" t="str">
        <f>VLOOKUP(D1423,'Tên SP'!B$2:C$1070,2,0)</f>
        <v>NƯỚC XẢ VẢI LIXSOFT 3,6L/C04</v>
      </c>
      <c r="F1423" s="4">
        <v>80040</v>
      </c>
      <c r="G1423">
        <v>1</v>
      </c>
      <c r="H1423" s="4">
        <v>80040</v>
      </c>
      <c r="I1423" s="4">
        <v>-8000</v>
      </c>
      <c r="J1423" s="5">
        <f t="shared" si="22"/>
        <v>72040</v>
      </c>
    </row>
    <row r="1424" spans="1:10" x14ac:dyDescent="0.25">
      <c r="A1424" s="6">
        <v>1435</v>
      </c>
      <c r="B1424" t="s">
        <v>2412</v>
      </c>
      <c r="C1424" t="s">
        <v>1157</v>
      </c>
      <c r="D1424" t="s">
        <v>102</v>
      </c>
      <c r="E1424" t="str">
        <f>VLOOKUP(D1424,'Tên SP'!B$2:C$1070,2,0)</f>
        <v>NƯỚC GIẶT LIX HƯƠNG NƯỚC HOA 3,5KG/T04 TÚI</v>
      </c>
      <c r="F1424" s="4">
        <v>91350</v>
      </c>
      <c r="G1424">
        <v>1</v>
      </c>
      <c r="H1424" s="4">
        <v>91350</v>
      </c>
      <c r="I1424" s="4">
        <v>-8000</v>
      </c>
      <c r="J1424" s="5">
        <f t="shared" si="22"/>
        <v>83350</v>
      </c>
    </row>
    <row r="1425" spans="1:10" x14ac:dyDescent="0.25">
      <c r="A1425" s="6">
        <v>1436</v>
      </c>
      <c r="B1425" t="s">
        <v>2413</v>
      </c>
      <c r="C1425" t="s">
        <v>1158</v>
      </c>
      <c r="D1425" t="s">
        <v>56</v>
      </c>
      <c r="E1425" t="str">
        <f>VLOOKUP(D1425,'Tên SP'!B$2:C$1070,2,0)</f>
        <v>BỘT GIẶT LIX ĐẬM ĐẶC 400G/24</v>
      </c>
      <c r="F1425" s="4">
        <v>17000</v>
      </c>
      <c r="G1425">
        <v>1</v>
      </c>
      <c r="H1425" s="4">
        <v>17000</v>
      </c>
      <c r="I1425" s="4">
        <v>-1541</v>
      </c>
      <c r="J1425" s="5">
        <f t="shared" si="22"/>
        <v>15459</v>
      </c>
    </row>
    <row r="1426" spans="1:10" x14ac:dyDescent="0.25">
      <c r="A1426" s="6">
        <v>1437</v>
      </c>
      <c r="B1426" t="s">
        <v>2413</v>
      </c>
      <c r="C1426" t="s">
        <v>1158</v>
      </c>
      <c r="D1426" t="s">
        <v>31</v>
      </c>
      <c r="E1426" t="str">
        <f>VLOOKUP(D1426,'Tên SP'!B$2:C$1070,2,0)</f>
        <v>BỘT GIẶT LIXE 5,5KG/03</v>
      </c>
      <c r="F1426" s="4">
        <v>141000</v>
      </c>
      <c r="G1426">
        <v>1</v>
      </c>
      <c r="H1426" s="4">
        <v>141000</v>
      </c>
      <c r="I1426" s="4">
        <v>-12779</v>
      </c>
      <c r="J1426" s="5">
        <f t="shared" si="22"/>
        <v>128221</v>
      </c>
    </row>
    <row r="1427" spans="1:10" x14ac:dyDescent="0.25">
      <c r="A1427" s="6">
        <v>1438</v>
      </c>
      <c r="B1427" t="s">
        <v>2414</v>
      </c>
      <c r="C1427" t="s">
        <v>1159</v>
      </c>
      <c r="D1427" t="s">
        <v>100</v>
      </c>
      <c r="E1427" t="str">
        <f>VLOOKUP(D1427,'Tên SP'!B$2:C$1070,2,0)</f>
        <v>NƯỚC GIẶT LIX HƯƠNG NƯỚC HOA 3,6KG/C04</v>
      </c>
      <c r="F1427" s="4">
        <v>117000</v>
      </c>
      <c r="G1427">
        <v>1</v>
      </c>
      <c r="H1427" s="4">
        <v>117000</v>
      </c>
      <c r="I1427" s="4">
        <v>-8000</v>
      </c>
      <c r="J1427" s="5">
        <f t="shared" si="22"/>
        <v>109000</v>
      </c>
    </row>
    <row r="1428" spans="1:10" x14ac:dyDescent="0.25">
      <c r="A1428" s="6">
        <v>1439</v>
      </c>
      <c r="B1428" t="s">
        <v>2415</v>
      </c>
      <c r="C1428" t="s">
        <v>1160</v>
      </c>
      <c r="D1428" t="s">
        <v>9</v>
      </c>
      <c r="E1428" t="str">
        <f>VLOOKUP(D1428,'Tên SP'!B$2:C$1070,2,0)</f>
        <v>NƯỚC GIẶT LIX ĐẬM ĐẶC 3,5KG/T04 TÚI</v>
      </c>
      <c r="F1428" s="4">
        <v>91350</v>
      </c>
      <c r="G1428">
        <v>1</v>
      </c>
      <c r="H1428" s="4">
        <v>91350</v>
      </c>
      <c r="I1428" s="4">
        <v>-8000</v>
      </c>
      <c r="J1428" s="5">
        <f t="shared" si="22"/>
        <v>83350</v>
      </c>
    </row>
    <row r="1429" spans="1:10" x14ac:dyDescent="0.25">
      <c r="A1429" s="6">
        <v>1440</v>
      </c>
      <c r="B1429" t="s">
        <v>2416</v>
      </c>
      <c r="C1429" t="s">
        <v>1161</v>
      </c>
      <c r="D1429" t="s">
        <v>28</v>
      </c>
      <c r="E1429" t="str">
        <f>VLOOKUP(D1429,'Tên SP'!B$2:C$1070,2,0)</f>
        <v>NƯỚC XẢ VẢI LIXSOFT HƯƠNG HOA HỒNG 3,6L/C04</v>
      </c>
      <c r="F1429" s="4">
        <v>89000</v>
      </c>
      <c r="G1429">
        <v>1</v>
      </c>
      <c r="H1429" s="4">
        <v>89000</v>
      </c>
      <c r="I1429" s="4">
        <v>-13350</v>
      </c>
      <c r="J1429" s="5">
        <f t="shared" si="22"/>
        <v>75650</v>
      </c>
    </row>
    <row r="1430" spans="1:10" x14ac:dyDescent="0.25">
      <c r="A1430" s="6">
        <v>1441</v>
      </c>
      <c r="B1430" t="s">
        <v>2417</v>
      </c>
      <c r="C1430" t="s">
        <v>1162</v>
      </c>
      <c r="D1430" t="s">
        <v>67</v>
      </c>
      <c r="E1430" t="str">
        <f>VLOOKUP(D1430,'Tên SP'!B$2:C$1070,2,0)</f>
        <v>BỘT GIẶT LIX DD HƯƠNG NƯỚC HOA 800G/12</v>
      </c>
      <c r="F1430" s="4">
        <v>28000</v>
      </c>
      <c r="G1430">
        <v>1</v>
      </c>
      <c r="H1430" s="4">
        <v>28000</v>
      </c>
      <c r="I1430" s="4">
        <v>-1120</v>
      </c>
      <c r="J1430" s="5">
        <f t="shared" si="22"/>
        <v>26880</v>
      </c>
    </row>
    <row r="1431" spans="1:10" x14ac:dyDescent="0.25">
      <c r="A1431" s="6">
        <v>1442</v>
      </c>
      <c r="B1431" t="s">
        <v>2417</v>
      </c>
      <c r="C1431" t="s">
        <v>1162</v>
      </c>
      <c r="D1431" t="s">
        <v>9</v>
      </c>
      <c r="E1431" t="str">
        <f>VLOOKUP(D1431,'Tên SP'!B$2:C$1070,2,0)</f>
        <v>NƯỚC GIẶT LIX ĐẬM ĐẶC 3,5KG/T04 TÚI</v>
      </c>
      <c r="F1431" s="4">
        <v>91350</v>
      </c>
      <c r="G1431">
        <v>1</v>
      </c>
      <c r="H1431" s="4">
        <v>91350</v>
      </c>
      <c r="I1431" s="4">
        <v>-3654</v>
      </c>
      <c r="J1431" s="5">
        <f t="shared" si="22"/>
        <v>87696</v>
      </c>
    </row>
    <row r="1432" spans="1:10" x14ac:dyDescent="0.25">
      <c r="A1432" s="6">
        <v>1443</v>
      </c>
      <c r="B1432" t="s">
        <v>2418</v>
      </c>
      <c r="C1432" t="s">
        <v>1163</v>
      </c>
      <c r="D1432" t="s">
        <v>9</v>
      </c>
      <c r="E1432" t="str">
        <f>VLOOKUP(D1432,'Tên SP'!B$2:C$1070,2,0)</f>
        <v>NƯỚC GIẶT LIX ĐẬM ĐẶC 3,5KG/T04 TÚI</v>
      </c>
      <c r="F1432" s="4">
        <v>91350</v>
      </c>
      <c r="G1432">
        <v>1</v>
      </c>
      <c r="H1432" s="4">
        <v>91350</v>
      </c>
      <c r="I1432" s="4">
        <v>0</v>
      </c>
      <c r="J1432" s="5">
        <f t="shared" si="22"/>
        <v>91350</v>
      </c>
    </row>
    <row r="1433" spans="1:10" x14ac:dyDescent="0.25">
      <c r="A1433" s="6">
        <v>1444</v>
      </c>
      <c r="B1433" t="s">
        <v>2419</v>
      </c>
      <c r="C1433" t="s">
        <v>1164</v>
      </c>
      <c r="D1433" t="s">
        <v>9</v>
      </c>
      <c r="E1433" t="str">
        <f>VLOOKUP(D1433,'Tên SP'!B$2:C$1070,2,0)</f>
        <v>NƯỚC GIẶT LIX ĐẬM ĐẶC 3,5KG/T04 TÚI</v>
      </c>
      <c r="F1433" s="4">
        <v>91350</v>
      </c>
      <c r="G1433">
        <v>1</v>
      </c>
      <c r="H1433" s="4">
        <v>91350</v>
      </c>
      <c r="I1433" s="4">
        <v>0</v>
      </c>
      <c r="J1433" s="5">
        <f t="shared" si="22"/>
        <v>91350</v>
      </c>
    </row>
    <row r="1434" spans="1:10" x14ac:dyDescent="0.25">
      <c r="A1434" s="6">
        <v>1445</v>
      </c>
      <c r="B1434" t="s">
        <v>2420</v>
      </c>
      <c r="C1434" t="s">
        <v>1165</v>
      </c>
      <c r="D1434" t="s">
        <v>85</v>
      </c>
      <c r="E1434" t="str">
        <f>VLOOKUP(D1434,'Tên SP'!B$2:C$1070,2,0)</f>
        <v>NƯỚC RỬA CHÉN SIÊU SẠCH TRÀ 3,6KG/C04</v>
      </c>
      <c r="F1434" s="4">
        <v>76000</v>
      </c>
      <c r="G1434">
        <v>1</v>
      </c>
      <c r="H1434" s="4">
        <v>76000</v>
      </c>
      <c r="I1434" s="4">
        <v>-8800</v>
      </c>
      <c r="J1434" s="5">
        <f t="shared" si="22"/>
        <v>67200</v>
      </c>
    </row>
    <row r="1435" spans="1:10" x14ac:dyDescent="0.25">
      <c r="A1435" s="6">
        <v>1446</v>
      </c>
      <c r="B1435" t="s">
        <v>2420</v>
      </c>
      <c r="C1435" t="s">
        <v>1165</v>
      </c>
      <c r="D1435" t="s">
        <v>85</v>
      </c>
      <c r="E1435" t="str">
        <f>VLOOKUP(D1435,'Tên SP'!B$2:C$1070,2,0)</f>
        <v>NƯỚC RỬA CHÉN SIÊU SẠCH TRÀ 3,6KG/C04</v>
      </c>
      <c r="F1435" s="4">
        <v>76000</v>
      </c>
      <c r="G1435">
        <v>1</v>
      </c>
      <c r="H1435" s="4">
        <v>76000</v>
      </c>
      <c r="I1435" s="4">
        <v>-8800</v>
      </c>
      <c r="J1435" s="5">
        <f t="shared" si="22"/>
        <v>67200</v>
      </c>
    </row>
    <row r="1436" spans="1:10" x14ac:dyDescent="0.25">
      <c r="A1436" s="6">
        <v>1447</v>
      </c>
      <c r="B1436" t="s">
        <v>2420</v>
      </c>
      <c r="C1436" t="s">
        <v>1165</v>
      </c>
      <c r="D1436" t="s">
        <v>85</v>
      </c>
      <c r="E1436" t="str">
        <f>VLOOKUP(D1436,'Tên SP'!B$2:C$1070,2,0)</f>
        <v>NƯỚC RỬA CHÉN SIÊU SẠCH TRÀ 3,6KG/C04</v>
      </c>
      <c r="F1436" s="4">
        <v>76000</v>
      </c>
      <c r="G1436">
        <v>1</v>
      </c>
      <c r="H1436" s="4">
        <v>76000</v>
      </c>
      <c r="I1436" s="4">
        <v>-8800</v>
      </c>
      <c r="J1436" s="5">
        <f t="shared" si="22"/>
        <v>67200</v>
      </c>
    </row>
    <row r="1437" spans="1:10" x14ac:dyDescent="0.25">
      <c r="A1437" s="6">
        <v>1448</v>
      </c>
      <c r="B1437" t="s">
        <v>2420</v>
      </c>
      <c r="C1437" t="s">
        <v>1165</v>
      </c>
      <c r="D1437" t="s">
        <v>85</v>
      </c>
      <c r="E1437" t="str">
        <f>VLOOKUP(D1437,'Tên SP'!B$2:C$1070,2,0)</f>
        <v>NƯỚC RỬA CHÉN SIÊU SẠCH TRÀ 3,6KG/C04</v>
      </c>
      <c r="F1437" s="4">
        <v>76000</v>
      </c>
      <c r="G1437">
        <v>1</v>
      </c>
      <c r="H1437" s="4">
        <v>76000</v>
      </c>
      <c r="I1437" s="4">
        <v>-8800</v>
      </c>
      <c r="J1437" s="5">
        <f t="shared" si="22"/>
        <v>67200</v>
      </c>
    </row>
    <row r="1438" spans="1:10" x14ac:dyDescent="0.25">
      <c r="A1438" s="6">
        <v>1449</v>
      </c>
      <c r="B1438" t="s">
        <v>2421</v>
      </c>
      <c r="C1438" t="s">
        <v>1166</v>
      </c>
      <c r="D1438" t="s">
        <v>42</v>
      </c>
      <c r="E1438" t="str">
        <f>VLOOKUP(D1438,'Tên SP'!B$2:C$1070,2,0)</f>
        <v>BỘT GIẶT LIXE HƯƠNG NƯỚC HOA 2,4KG/05</v>
      </c>
      <c r="F1438" s="4">
        <v>66000</v>
      </c>
      <c r="G1438">
        <v>1</v>
      </c>
      <c r="H1438" s="4">
        <v>66000</v>
      </c>
      <c r="I1438" s="4">
        <v>-8000</v>
      </c>
      <c r="J1438" s="5">
        <f t="shared" si="22"/>
        <v>58000</v>
      </c>
    </row>
    <row r="1439" spans="1:10" x14ac:dyDescent="0.25">
      <c r="A1439" s="6">
        <v>1450</v>
      </c>
      <c r="B1439" t="s">
        <v>2422</v>
      </c>
      <c r="C1439" t="s">
        <v>1167</v>
      </c>
      <c r="D1439" t="s">
        <v>9</v>
      </c>
      <c r="E1439" t="str">
        <f>VLOOKUP(D1439,'Tên SP'!B$2:C$1070,2,0)</f>
        <v>NƯỚC GIẶT LIX ĐẬM ĐẶC 3,5KG/T04 TÚI</v>
      </c>
      <c r="F1439" s="4">
        <v>101000</v>
      </c>
      <c r="G1439">
        <v>1</v>
      </c>
      <c r="H1439" s="4">
        <v>101000</v>
      </c>
      <c r="I1439" s="4">
        <v>-15000</v>
      </c>
      <c r="J1439" s="5">
        <f t="shared" si="22"/>
        <v>86000</v>
      </c>
    </row>
    <row r="1440" spans="1:10" x14ac:dyDescent="0.25">
      <c r="A1440" s="6">
        <v>1451</v>
      </c>
      <c r="B1440" t="s">
        <v>2423</v>
      </c>
      <c r="C1440" t="s">
        <v>1168</v>
      </c>
      <c r="D1440" t="s">
        <v>38</v>
      </c>
      <c r="E1440" t="str">
        <f>VLOOKUP(D1440,'Tên SP'!B$2:C$1070,2,0)</f>
        <v>BỘT GIẶT LIXE HƯƠNG NƯỚC HOA 5,5KG/03</v>
      </c>
      <c r="F1440" s="4">
        <v>126150</v>
      </c>
      <c r="G1440">
        <v>1</v>
      </c>
      <c r="H1440" s="4">
        <v>126150</v>
      </c>
      <c r="I1440" s="4">
        <v>-37845</v>
      </c>
      <c r="J1440" s="5">
        <f t="shared" si="22"/>
        <v>88305</v>
      </c>
    </row>
    <row r="1441" spans="1:10" x14ac:dyDescent="0.25">
      <c r="A1441" s="6">
        <v>1452</v>
      </c>
      <c r="B1441" t="s">
        <v>2424</v>
      </c>
      <c r="C1441" t="s">
        <v>1169</v>
      </c>
      <c r="D1441" t="s">
        <v>106</v>
      </c>
      <c r="E1441" t="str">
        <f>VLOOKUP(D1441,'Tên SP'!B$2:C$1070,2,0)</f>
        <v>NƯỚC GIẶT LIX SIÊU SẠCH HOA ANH ĐÀO 2.4KG/T06</v>
      </c>
      <c r="F1441" s="4">
        <v>60030</v>
      </c>
      <c r="G1441">
        <v>1</v>
      </c>
      <c r="H1441" s="4">
        <v>60030</v>
      </c>
      <c r="I1441" s="4">
        <v>-9901</v>
      </c>
      <c r="J1441" s="5">
        <f t="shared" si="22"/>
        <v>50129</v>
      </c>
    </row>
    <row r="1442" spans="1:10" x14ac:dyDescent="0.25">
      <c r="A1442" s="6">
        <v>1453</v>
      </c>
      <c r="B1442" t="s">
        <v>2424</v>
      </c>
      <c r="C1442" t="s">
        <v>1169</v>
      </c>
      <c r="D1442" t="s">
        <v>106</v>
      </c>
      <c r="E1442" t="str">
        <f>VLOOKUP(D1442,'Tên SP'!B$2:C$1070,2,0)</f>
        <v>NƯỚC GIẶT LIX SIÊU SẠCH HOA ANH ĐÀO 2.4KG/T06</v>
      </c>
      <c r="F1442" s="4">
        <v>60030</v>
      </c>
      <c r="G1442">
        <v>1</v>
      </c>
      <c r="H1442" s="4">
        <v>60030</v>
      </c>
      <c r="I1442" s="4">
        <v>-9901</v>
      </c>
      <c r="J1442" s="5">
        <f t="shared" si="22"/>
        <v>50129</v>
      </c>
    </row>
    <row r="1443" spans="1:10" x14ac:dyDescent="0.25">
      <c r="A1443" s="6">
        <v>1454</v>
      </c>
      <c r="B1443" t="s">
        <v>2425</v>
      </c>
      <c r="C1443" t="s">
        <v>1170</v>
      </c>
      <c r="D1443" t="s">
        <v>79</v>
      </c>
      <c r="E1443" t="str">
        <f>VLOOKUP(D1443,'Tên SP'!B$2:C$1070,2,0)</f>
        <v>NƯỚC RỬA CHÉN SIÊU SẠCH CHANH 750G/CH12</v>
      </c>
      <c r="F1443" s="4">
        <v>18000</v>
      </c>
      <c r="G1443">
        <v>1</v>
      </c>
      <c r="H1443" s="4">
        <v>18000</v>
      </c>
      <c r="I1443" s="4">
        <v>-8000</v>
      </c>
      <c r="J1443" s="5">
        <f t="shared" si="22"/>
        <v>10000</v>
      </c>
    </row>
    <row r="1444" spans="1:10" x14ac:dyDescent="0.25">
      <c r="A1444" s="6">
        <v>1455</v>
      </c>
      <c r="B1444" t="s">
        <v>2426</v>
      </c>
      <c r="C1444" t="s">
        <v>1171</v>
      </c>
      <c r="D1444" t="s">
        <v>97</v>
      </c>
      <c r="E1444" t="str">
        <f>VLOOKUP(D1444,'Tên SP'!B$2:C$1070,2,0)</f>
        <v>NƯỚC GIẶT LIX ĐẬM ĐẶC 3,6KG/C04</v>
      </c>
      <c r="F1444" s="4">
        <v>117000</v>
      </c>
      <c r="G1444">
        <v>1</v>
      </c>
      <c r="H1444" s="4">
        <v>117000</v>
      </c>
      <c r="I1444" s="4">
        <v>-15000</v>
      </c>
      <c r="J1444" s="5">
        <f t="shared" si="22"/>
        <v>102000</v>
      </c>
    </row>
    <row r="1445" spans="1:10" x14ac:dyDescent="0.25">
      <c r="A1445" s="6">
        <v>1456</v>
      </c>
      <c r="B1445" t="s">
        <v>2427</v>
      </c>
      <c r="C1445" t="s">
        <v>1172</v>
      </c>
      <c r="D1445" t="s">
        <v>79</v>
      </c>
      <c r="E1445" t="str">
        <f>VLOOKUP(D1445,'Tên SP'!B$2:C$1070,2,0)</f>
        <v>NƯỚC RỬA CHÉN SIÊU SẠCH CHANH 750G/CH12</v>
      </c>
      <c r="F1445" s="4">
        <v>18000</v>
      </c>
      <c r="G1445">
        <v>1</v>
      </c>
      <c r="H1445" s="4">
        <v>18000</v>
      </c>
      <c r="I1445" s="4">
        <v>-8000</v>
      </c>
      <c r="J1445" s="5">
        <f t="shared" si="22"/>
        <v>10000</v>
      </c>
    </row>
    <row r="1446" spans="1:10" x14ac:dyDescent="0.25">
      <c r="A1446" s="6">
        <v>1457</v>
      </c>
      <c r="B1446" t="s">
        <v>2428</v>
      </c>
      <c r="C1446" t="s">
        <v>1173</v>
      </c>
      <c r="D1446" t="s">
        <v>89</v>
      </c>
      <c r="E1446" t="str">
        <f>VLOOKUP(D1446,'Tên SP'!B$2:C$1070,2,0)</f>
        <v>NƯỚC RỬA CHÉN SIÊU SẠCH TRÀ 750G/CH12</v>
      </c>
      <c r="F1446" s="4">
        <v>19000</v>
      </c>
      <c r="G1446">
        <v>1</v>
      </c>
      <c r="H1446" s="4">
        <v>19000</v>
      </c>
      <c r="I1446" s="4">
        <v>-8000</v>
      </c>
      <c r="J1446" s="5">
        <f t="shared" si="22"/>
        <v>11000</v>
      </c>
    </row>
    <row r="1447" spans="1:10" x14ac:dyDescent="0.25">
      <c r="A1447" s="6">
        <v>1458</v>
      </c>
      <c r="B1447" t="s">
        <v>2429</v>
      </c>
      <c r="C1447" t="s">
        <v>1174</v>
      </c>
      <c r="D1447" t="s">
        <v>102</v>
      </c>
      <c r="E1447" t="str">
        <f>VLOOKUP(D1447,'Tên SP'!B$2:C$1070,2,0)</f>
        <v>NƯỚC GIẶT LIX HƯƠNG NƯỚC HOA 3,5KG/T04 TÚI</v>
      </c>
      <c r="F1447" s="4">
        <v>102000</v>
      </c>
      <c r="G1447">
        <v>1</v>
      </c>
      <c r="H1447" s="4">
        <v>102000</v>
      </c>
      <c r="I1447" s="4">
        <v>-15000</v>
      </c>
      <c r="J1447" s="5">
        <f t="shared" si="22"/>
        <v>87000</v>
      </c>
    </row>
    <row r="1448" spans="1:10" x14ac:dyDescent="0.25">
      <c r="A1448" s="6">
        <v>1459</v>
      </c>
      <c r="B1448" t="s">
        <v>2430</v>
      </c>
      <c r="C1448" t="s">
        <v>1175</v>
      </c>
      <c r="D1448" t="s">
        <v>9</v>
      </c>
      <c r="E1448" t="str">
        <f>VLOOKUP(D1448,'Tên SP'!B$2:C$1070,2,0)</f>
        <v>NƯỚC GIẶT LIX ĐẬM ĐẶC 3,5KG/T04 TÚI</v>
      </c>
      <c r="F1448" s="4">
        <v>101000</v>
      </c>
      <c r="G1448">
        <v>1</v>
      </c>
      <c r="H1448" s="4">
        <v>101000</v>
      </c>
      <c r="I1448" s="4">
        <v>0</v>
      </c>
      <c r="J1448" s="5">
        <f t="shared" si="22"/>
        <v>101000</v>
      </c>
    </row>
    <row r="1449" spans="1:10" x14ac:dyDescent="0.25">
      <c r="A1449" s="6">
        <v>1460</v>
      </c>
      <c r="B1449" t="s">
        <v>2431</v>
      </c>
      <c r="C1449" t="s">
        <v>1176</v>
      </c>
      <c r="D1449" t="s">
        <v>9</v>
      </c>
      <c r="E1449" t="str">
        <f>VLOOKUP(D1449,'Tên SP'!B$2:C$1070,2,0)</f>
        <v>NƯỚC GIẶT LIX ĐẬM ĐẶC 3,5KG/T04 TÚI</v>
      </c>
      <c r="F1449" s="4">
        <v>101000</v>
      </c>
      <c r="G1449">
        <v>1</v>
      </c>
      <c r="H1449" s="4">
        <v>101000</v>
      </c>
      <c r="I1449" s="4">
        <v>-15000</v>
      </c>
      <c r="J1449" s="5">
        <f t="shared" si="22"/>
        <v>86000</v>
      </c>
    </row>
    <row r="1450" spans="1:10" x14ac:dyDescent="0.25">
      <c r="A1450" s="6">
        <v>1461</v>
      </c>
      <c r="B1450" t="s">
        <v>2432</v>
      </c>
      <c r="C1450" t="s">
        <v>1177</v>
      </c>
      <c r="D1450" t="s">
        <v>97</v>
      </c>
      <c r="E1450" t="str">
        <f>VLOOKUP(D1450,'Tên SP'!B$2:C$1070,2,0)</f>
        <v>NƯỚC GIẶT LIX ĐẬM ĐẶC 3,6KG/C04</v>
      </c>
      <c r="F1450" s="4">
        <v>117000</v>
      </c>
      <c r="G1450">
        <v>1</v>
      </c>
      <c r="H1450" s="4">
        <v>117000</v>
      </c>
      <c r="I1450" s="4">
        <v>0</v>
      </c>
      <c r="J1450" s="5">
        <f t="shared" si="22"/>
        <v>117000</v>
      </c>
    </row>
    <row r="1451" spans="1:10" x14ac:dyDescent="0.25">
      <c r="A1451" s="6">
        <v>1462</v>
      </c>
      <c r="B1451" t="s">
        <v>2433</v>
      </c>
      <c r="C1451" t="s">
        <v>1178</v>
      </c>
      <c r="D1451" t="s">
        <v>28</v>
      </c>
      <c r="E1451" t="str">
        <f>VLOOKUP(D1451,'Tên SP'!B$2:C$1070,2,0)</f>
        <v>NƯỚC XẢ VẢI LIXSOFT HƯƠNG HOA HỒNG 3,6L/C04</v>
      </c>
      <c r="F1451" s="4">
        <v>89000</v>
      </c>
      <c r="G1451">
        <v>1</v>
      </c>
      <c r="H1451" s="4">
        <v>89000</v>
      </c>
      <c r="I1451" s="4">
        <v>-13350</v>
      </c>
      <c r="J1451" s="5">
        <f t="shared" si="22"/>
        <v>75650</v>
      </c>
    </row>
    <row r="1452" spans="1:10" x14ac:dyDescent="0.25">
      <c r="A1452" s="6">
        <v>1463</v>
      </c>
      <c r="B1452" t="s">
        <v>2434</v>
      </c>
      <c r="C1452" t="s">
        <v>1179</v>
      </c>
      <c r="D1452" t="s">
        <v>102</v>
      </c>
      <c r="E1452" t="str">
        <f>VLOOKUP(D1452,'Tên SP'!B$2:C$1070,2,0)</f>
        <v>NƯỚC GIẶT LIX HƯƠNG NƯỚC HOA 3,5KG/T04 TÚI</v>
      </c>
      <c r="F1452" s="4">
        <v>102000</v>
      </c>
      <c r="G1452">
        <v>1</v>
      </c>
      <c r="H1452" s="4">
        <v>102000</v>
      </c>
      <c r="I1452" s="4">
        <v>-8000</v>
      </c>
      <c r="J1452" s="5">
        <f t="shared" si="22"/>
        <v>94000</v>
      </c>
    </row>
    <row r="1453" spans="1:10" x14ac:dyDescent="0.25">
      <c r="A1453" s="6">
        <v>1464</v>
      </c>
      <c r="B1453" t="s">
        <v>2435</v>
      </c>
      <c r="C1453" t="s">
        <v>1180</v>
      </c>
      <c r="D1453" t="s">
        <v>9</v>
      </c>
      <c r="E1453" t="str">
        <f>VLOOKUP(D1453,'Tên SP'!B$2:C$1070,2,0)</f>
        <v>NƯỚC GIẶT LIX ĐẬM ĐẶC 3,5KG/T04 TÚI</v>
      </c>
      <c r="F1453" s="4">
        <v>101000</v>
      </c>
      <c r="G1453">
        <v>1</v>
      </c>
      <c r="H1453" s="4">
        <v>101000</v>
      </c>
      <c r="I1453" s="4">
        <v>-15000</v>
      </c>
      <c r="J1453" s="5">
        <f t="shared" si="22"/>
        <v>86000</v>
      </c>
    </row>
    <row r="1454" spans="1:10" x14ac:dyDescent="0.25">
      <c r="A1454" s="6">
        <v>1465</v>
      </c>
      <c r="B1454" t="s">
        <v>2436</v>
      </c>
      <c r="C1454" t="s">
        <v>1181</v>
      </c>
      <c r="D1454" t="s">
        <v>154</v>
      </c>
      <c r="E1454" t="str">
        <f>VLOOKUP(D1454,'Tên SP'!B$2:C$1070,2,0)</f>
        <v>NƯỚC GIẶT XẢ ON1 BAMBOO CHARCOAL 3,6KG/C04</v>
      </c>
      <c r="F1454" s="4">
        <v>163000</v>
      </c>
      <c r="G1454">
        <v>1</v>
      </c>
      <c r="H1454" s="4">
        <v>163000</v>
      </c>
      <c r="I1454" s="4">
        <v>-8000</v>
      </c>
      <c r="J1454" s="5">
        <f t="shared" si="22"/>
        <v>155000</v>
      </c>
    </row>
    <row r="1455" spans="1:10" x14ac:dyDescent="0.25">
      <c r="A1455" s="6">
        <v>1466</v>
      </c>
      <c r="B1455" t="s">
        <v>2437</v>
      </c>
      <c r="C1455" t="s">
        <v>1182</v>
      </c>
      <c r="D1455" t="s">
        <v>89</v>
      </c>
      <c r="E1455" t="str">
        <f>VLOOKUP(D1455,'Tên SP'!B$2:C$1070,2,0)</f>
        <v>NƯỚC RỬA CHÉN SIÊU SẠCH TRÀ 750G/CH12</v>
      </c>
      <c r="F1455" s="4">
        <v>19000</v>
      </c>
      <c r="G1455">
        <v>1</v>
      </c>
      <c r="H1455" s="4">
        <v>19000</v>
      </c>
      <c r="I1455" s="4">
        <v>-8000</v>
      </c>
      <c r="J1455" s="5">
        <f t="shared" si="22"/>
        <v>11000</v>
      </c>
    </row>
    <row r="1456" spans="1:10" x14ac:dyDescent="0.25">
      <c r="A1456" s="6">
        <v>1467</v>
      </c>
      <c r="B1456" t="s">
        <v>2438</v>
      </c>
      <c r="C1456" t="s">
        <v>1183</v>
      </c>
      <c r="D1456" t="s">
        <v>152</v>
      </c>
      <c r="E1456" t="str">
        <f>VLOOKUP(D1456,'Tên SP'!B$2:C$1070,2,0)</f>
        <v>NƯỚC GIẶT ON1 CHỐNG LEM MÀU FRESH SAKURA 3,5KG/T04 (TÚI)</v>
      </c>
      <c r="F1456" s="4">
        <v>146000</v>
      </c>
      <c r="G1456">
        <v>1</v>
      </c>
      <c r="H1456" s="4">
        <v>146000</v>
      </c>
      <c r="I1456" s="4">
        <v>-146000</v>
      </c>
      <c r="J1456" s="5">
        <f t="shared" si="22"/>
        <v>0</v>
      </c>
    </row>
    <row r="1457" spans="1:10" x14ac:dyDescent="0.25">
      <c r="A1457" s="6">
        <v>1468</v>
      </c>
      <c r="B1457" t="s">
        <v>2438</v>
      </c>
      <c r="C1457" t="s">
        <v>1183</v>
      </c>
      <c r="D1457" t="s">
        <v>184</v>
      </c>
      <c r="E1457" t="str">
        <f>VLOOKUP(D1457,'Tên SP'!B$2:C$1070,2,0)</f>
        <v>GEL DIỆT KHUẨN TAY ON1 60ML/CH80</v>
      </c>
      <c r="F1457" s="4">
        <v>24000</v>
      </c>
      <c r="G1457">
        <v>1</v>
      </c>
      <c r="H1457" s="4">
        <v>24000</v>
      </c>
      <c r="I1457" s="4">
        <v>-24000</v>
      </c>
      <c r="J1457" s="5">
        <f t="shared" si="22"/>
        <v>0</v>
      </c>
    </row>
    <row r="1458" spans="1:10" x14ac:dyDescent="0.25">
      <c r="A1458" s="6">
        <v>1469</v>
      </c>
      <c r="B1458" t="s">
        <v>2439</v>
      </c>
      <c r="C1458" t="s">
        <v>1184</v>
      </c>
      <c r="D1458" t="s">
        <v>9</v>
      </c>
      <c r="E1458" t="str">
        <f>VLOOKUP(D1458,'Tên SP'!B$2:C$1070,2,0)</f>
        <v>NƯỚC GIẶT LIX ĐẬM ĐẶC 3,5KG/T04 TÚI</v>
      </c>
      <c r="F1458" s="4">
        <v>101000</v>
      </c>
      <c r="G1458">
        <v>1</v>
      </c>
      <c r="H1458" s="4">
        <v>101000</v>
      </c>
      <c r="I1458" s="4">
        <v>-10050</v>
      </c>
      <c r="J1458" s="5">
        <f t="shared" si="22"/>
        <v>90950</v>
      </c>
    </row>
    <row r="1459" spans="1:10" x14ac:dyDescent="0.25">
      <c r="A1459" s="6">
        <v>1470</v>
      </c>
      <c r="B1459" t="s">
        <v>2439</v>
      </c>
      <c r="C1459" t="s">
        <v>1184</v>
      </c>
      <c r="D1459" t="s">
        <v>9</v>
      </c>
      <c r="E1459" t="str">
        <f>VLOOKUP(D1459,'Tên SP'!B$2:C$1070,2,0)</f>
        <v>NƯỚC GIẶT LIX ĐẬM ĐẶC 3,5KG/T04 TÚI</v>
      </c>
      <c r="F1459" s="4">
        <v>101000</v>
      </c>
      <c r="G1459">
        <v>1</v>
      </c>
      <c r="H1459" s="4">
        <v>101000</v>
      </c>
      <c r="I1459" s="4">
        <v>-10050</v>
      </c>
      <c r="J1459" s="5">
        <f t="shared" si="22"/>
        <v>90950</v>
      </c>
    </row>
    <row r="1460" spans="1:10" x14ac:dyDescent="0.25">
      <c r="A1460" s="6">
        <v>1471</v>
      </c>
      <c r="B1460" t="s">
        <v>2439</v>
      </c>
      <c r="C1460" t="s">
        <v>1184</v>
      </c>
      <c r="D1460" t="s">
        <v>9</v>
      </c>
      <c r="E1460" t="str">
        <f>VLOOKUP(D1460,'Tên SP'!B$2:C$1070,2,0)</f>
        <v>NƯỚC GIẶT LIX ĐẬM ĐẶC 3,5KG/T04 TÚI</v>
      </c>
      <c r="F1460" s="4">
        <v>101000</v>
      </c>
      <c r="G1460">
        <v>1</v>
      </c>
      <c r="H1460" s="4">
        <v>101000</v>
      </c>
      <c r="I1460" s="4">
        <v>-10050</v>
      </c>
      <c r="J1460" s="5">
        <f t="shared" si="22"/>
        <v>90950</v>
      </c>
    </row>
    <row r="1461" spans="1:10" x14ac:dyDescent="0.25">
      <c r="A1461" s="6">
        <v>1472</v>
      </c>
      <c r="B1461" t="s">
        <v>2439</v>
      </c>
      <c r="C1461" t="s">
        <v>1184</v>
      </c>
      <c r="D1461" t="s">
        <v>9</v>
      </c>
      <c r="E1461" t="str">
        <f>VLOOKUP(D1461,'Tên SP'!B$2:C$1070,2,0)</f>
        <v>NƯỚC GIẶT LIX ĐẬM ĐẶC 3,5KG/T04 TÚI</v>
      </c>
      <c r="F1461" s="4">
        <v>101000</v>
      </c>
      <c r="G1461">
        <v>1</v>
      </c>
      <c r="H1461" s="4">
        <v>101000</v>
      </c>
      <c r="I1461" s="4">
        <v>-10050</v>
      </c>
      <c r="J1461" s="5">
        <f t="shared" si="22"/>
        <v>90950</v>
      </c>
    </row>
    <row r="1462" spans="1:10" x14ac:dyDescent="0.25">
      <c r="A1462" s="6">
        <v>1473</v>
      </c>
      <c r="B1462" t="s">
        <v>2440</v>
      </c>
      <c r="C1462" t="s">
        <v>1185</v>
      </c>
      <c r="D1462" t="s">
        <v>9</v>
      </c>
      <c r="E1462" t="str">
        <f>VLOOKUP(D1462,'Tên SP'!B$2:C$1070,2,0)</f>
        <v>NƯỚC GIẶT LIX ĐẬM ĐẶC 3,5KG/T04 TÚI</v>
      </c>
      <c r="F1462" s="4">
        <v>101000</v>
      </c>
      <c r="G1462">
        <v>1</v>
      </c>
      <c r="H1462" s="4">
        <v>101000</v>
      </c>
      <c r="I1462" s="4">
        <v>0</v>
      </c>
      <c r="J1462" s="5">
        <f t="shared" si="22"/>
        <v>101000</v>
      </c>
    </row>
    <row r="1463" spans="1:10" x14ac:dyDescent="0.25">
      <c r="A1463" s="6">
        <v>1474</v>
      </c>
      <c r="B1463" t="s">
        <v>2441</v>
      </c>
      <c r="C1463" t="s">
        <v>1186</v>
      </c>
      <c r="D1463" t="s">
        <v>23</v>
      </c>
      <c r="E1463" t="str">
        <f>VLOOKUP(D1463,'Tên SP'!B$2:C$1070,2,0)</f>
        <v>NƯỚC XẢ VẢI LIXSOFT 3,6L/C04</v>
      </c>
      <c r="F1463" s="4">
        <v>80040</v>
      </c>
      <c r="G1463">
        <v>1</v>
      </c>
      <c r="H1463" s="4">
        <v>80040</v>
      </c>
      <c r="I1463" s="4">
        <v>0</v>
      </c>
      <c r="J1463" s="5">
        <f t="shared" ref="J1463:J1526" si="23">H1463+I1463</f>
        <v>80040</v>
      </c>
    </row>
    <row r="1464" spans="1:10" x14ac:dyDescent="0.25">
      <c r="A1464" s="6">
        <v>1475</v>
      </c>
      <c r="B1464" t="s">
        <v>2442</v>
      </c>
      <c r="C1464" t="s">
        <v>1187</v>
      </c>
      <c r="D1464" t="s">
        <v>58</v>
      </c>
      <c r="E1464" t="str">
        <f>VLOOKUP(D1464,'Tên SP'!B$2:C$1070,2,0)</f>
        <v>BỘT GIẶT LIX DD CHỐNG LEM MÀU 5,5KG/03</v>
      </c>
      <c r="F1464" s="4">
        <v>155000</v>
      </c>
      <c r="G1464">
        <v>1</v>
      </c>
      <c r="H1464" s="4">
        <v>155000</v>
      </c>
      <c r="I1464" s="4">
        <v>-15000</v>
      </c>
      <c r="J1464" s="5">
        <f t="shared" si="23"/>
        <v>140000</v>
      </c>
    </row>
    <row r="1465" spans="1:10" x14ac:dyDescent="0.25">
      <c r="A1465" s="6">
        <v>1476</v>
      </c>
      <c r="B1465" t="s">
        <v>2443</v>
      </c>
      <c r="C1465" t="s">
        <v>1188</v>
      </c>
      <c r="D1465" t="s">
        <v>38</v>
      </c>
      <c r="E1465" t="str">
        <f>VLOOKUP(D1465,'Tên SP'!B$2:C$1070,2,0)</f>
        <v>BỘT GIẶT LIXE HƯƠNG NƯỚC HOA 5,5KG/03</v>
      </c>
      <c r="F1465" s="4">
        <v>141000</v>
      </c>
      <c r="G1465">
        <v>1</v>
      </c>
      <c r="H1465" s="4">
        <v>141000</v>
      </c>
      <c r="I1465" s="4">
        <v>0</v>
      </c>
      <c r="J1465" s="5">
        <f t="shared" si="23"/>
        <v>141000</v>
      </c>
    </row>
    <row r="1466" spans="1:10" x14ac:dyDescent="0.25">
      <c r="A1466" s="6">
        <v>1477</v>
      </c>
      <c r="B1466" t="s">
        <v>2444</v>
      </c>
      <c r="C1466" t="s">
        <v>1189</v>
      </c>
      <c r="D1466" t="s">
        <v>9</v>
      </c>
      <c r="E1466" t="str">
        <f>VLOOKUP(D1466,'Tên SP'!B$2:C$1070,2,0)</f>
        <v>NƯỚC GIẶT LIX ĐẬM ĐẶC 3,5KG/T04 TÚI</v>
      </c>
      <c r="F1466" s="4">
        <v>101000</v>
      </c>
      <c r="G1466">
        <v>1</v>
      </c>
      <c r="H1466" s="4">
        <v>101000</v>
      </c>
      <c r="I1466" s="4">
        <v>-15000</v>
      </c>
      <c r="J1466" s="5">
        <f t="shared" si="23"/>
        <v>86000</v>
      </c>
    </row>
    <row r="1467" spans="1:10" x14ac:dyDescent="0.25">
      <c r="A1467" s="6">
        <v>1478</v>
      </c>
      <c r="B1467" t="s">
        <v>2445</v>
      </c>
      <c r="C1467" t="s">
        <v>1190</v>
      </c>
      <c r="D1467" t="s">
        <v>126</v>
      </c>
      <c r="E1467" t="str">
        <f>VLOOKUP(D1467,'Tên SP'!B$2:C$1070,2,0)</f>
        <v>NƯỚC RỬA CHÉN ON1 CHANH SẢ 1,5KG/C08</v>
      </c>
      <c r="F1467" s="4">
        <v>45000</v>
      </c>
      <c r="G1467">
        <v>1</v>
      </c>
      <c r="H1467" s="4">
        <v>45000</v>
      </c>
      <c r="I1467" s="4">
        <v>-8550</v>
      </c>
      <c r="J1467" s="5">
        <f t="shared" si="23"/>
        <v>36450</v>
      </c>
    </row>
    <row r="1468" spans="1:10" x14ac:dyDescent="0.25">
      <c r="A1468" s="6">
        <v>1479</v>
      </c>
      <c r="B1468" t="s">
        <v>2445</v>
      </c>
      <c r="C1468" t="s">
        <v>1190</v>
      </c>
      <c r="D1468" t="s">
        <v>22</v>
      </c>
      <c r="E1468" t="str">
        <f>VLOOKUP(D1468,'Tên SP'!B$2:C$1070,2,0)</f>
        <v>NƯỚC TẨY JAVEL LIX 1KG/CH12</v>
      </c>
      <c r="F1468" s="4">
        <v>33000</v>
      </c>
      <c r="G1468">
        <v>1</v>
      </c>
      <c r="H1468" s="4">
        <v>33000</v>
      </c>
      <c r="I1468" s="4">
        <v>-6270</v>
      </c>
      <c r="J1468" s="5">
        <f t="shared" si="23"/>
        <v>26730</v>
      </c>
    </row>
    <row r="1469" spans="1:10" x14ac:dyDescent="0.25">
      <c r="A1469" s="6">
        <v>1480</v>
      </c>
      <c r="B1469" t="s">
        <v>2446</v>
      </c>
      <c r="C1469" t="s">
        <v>1191</v>
      </c>
      <c r="D1469" t="s">
        <v>106</v>
      </c>
      <c r="E1469" t="str">
        <f>VLOOKUP(D1469,'Tên SP'!B$2:C$1070,2,0)</f>
        <v>NƯỚC GIẶT LIX SIÊU SẠCH HOA ANH ĐÀO 2.4KG/T06</v>
      </c>
      <c r="F1469" s="4">
        <v>60030</v>
      </c>
      <c r="G1469">
        <v>1</v>
      </c>
      <c r="H1469" s="4">
        <v>60030</v>
      </c>
      <c r="I1469" s="4">
        <v>-9005</v>
      </c>
      <c r="J1469" s="5">
        <f t="shared" si="23"/>
        <v>51025</v>
      </c>
    </row>
    <row r="1470" spans="1:10" x14ac:dyDescent="0.25">
      <c r="A1470" s="6">
        <v>1481</v>
      </c>
      <c r="B1470" t="s">
        <v>2447</v>
      </c>
      <c r="C1470" t="s">
        <v>1192</v>
      </c>
      <c r="D1470" t="s">
        <v>126</v>
      </c>
      <c r="E1470" t="str">
        <f>VLOOKUP(D1470,'Tên SP'!B$2:C$1070,2,0)</f>
        <v>NƯỚC RỬA CHÉN ON1 CHANH SẢ 1,5KG/C08</v>
      </c>
      <c r="F1470" s="4">
        <v>45000</v>
      </c>
      <c r="G1470">
        <v>1</v>
      </c>
      <c r="H1470" s="4">
        <v>45000</v>
      </c>
      <c r="I1470" s="4">
        <v>-6750</v>
      </c>
      <c r="J1470" s="5">
        <f t="shared" si="23"/>
        <v>38250</v>
      </c>
    </row>
    <row r="1471" spans="1:10" x14ac:dyDescent="0.25">
      <c r="A1471" s="6">
        <v>1482</v>
      </c>
      <c r="B1471" t="s">
        <v>2448</v>
      </c>
      <c r="C1471" t="s">
        <v>1193</v>
      </c>
      <c r="D1471" t="s">
        <v>104</v>
      </c>
      <c r="E1471" t="str">
        <f>VLOOKUP(D1471,'Tên SP'!B$2:C$1070,2,0)</f>
        <v>NƯỚC GIẶT LIX ĐẬM ĐẶC 2KG/C06</v>
      </c>
      <c r="F1471" s="4">
        <v>66000</v>
      </c>
      <c r="G1471">
        <v>1</v>
      </c>
      <c r="H1471" s="4">
        <v>66000</v>
      </c>
      <c r="I1471" s="4">
        <v>-9900</v>
      </c>
      <c r="J1471" s="5">
        <f t="shared" si="23"/>
        <v>56100</v>
      </c>
    </row>
    <row r="1472" spans="1:10" x14ac:dyDescent="0.25">
      <c r="A1472" s="6">
        <v>1483</v>
      </c>
      <c r="B1472" t="s">
        <v>2449</v>
      </c>
      <c r="C1472" t="s">
        <v>1194</v>
      </c>
      <c r="D1472" t="s">
        <v>28</v>
      </c>
      <c r="E1472" t="str">
        <f>VLOOKUP(D1472,'Tên SP'!B$2:C$1070,2,0)</f>
        <v>NƯỚC XẢ VẢI LIXSOFT HƯƠNG HOA HỒNG 3,6L/C04</v>
      </c>
      <c r="F1472" s="4">
        <v>89000</v>
      </c>
      <c r="G1472">
        <v>1</v>
      </c>
      <c r="H1472" s="4">
        <v>89000</v>
      </c>
      <c r="I1472" s="4">
        <v>-13350</v>
      </c>
      <c r="J1472" s="5">
        <f t="shared" si="23"/>
        <v>75650</v>
      </c>
    </row>
    <row r="1473" spans="1:10" x14ac:dyDescent="0.25">
      <c r="A1473" s="6">
        <v>1484</v>
      </c>
      <c r="B1473" t="s">
        <v>2450</v>
      </c>
      <c r="C1473" t="s">
        <v>1195</v>
      </c>
      <c r="D1473" t="s">
        <v>102</v>
      </c>
      <c r="E1473" t="str">
        <f>VLOOKUP(D1473,'Tên SP'!B$2:C$1070,2,0)</f>
        <v>NƯỚC GIẶT LIX HƯƠNG NƯỚC HOA 3,5KG/T04 TÚI</v>
      </c>
      <c r="F1473" s="4">
        <v>92400</v>
      </c>
      <c r="G1473">
        <v>1</v>
      </c>
      <c r="H1473" s="4">
        <v>92400</v>
      </c>
      <c r="I1473" s="4">
        <v>0</v>
      </c>
      <c r="J1473" s="5">
        <f t="shared" si="23"/>
        <v>92400</v>
      </c>
    </row>
    <row r="1474" spans="1:10" x14ac:dyDescent="0.25">
      <c r="A1474" s="6">
        <v>1485</v>
      </c>
      <c r="B1474" t="s">
        <v>2450</v>
      </c>
      <c r="C1474" t="s">
        <v>1195</v>
      </c>
      <c r="D1474" t="s">
        <v>102</v>
      </c>
      <c r="E1474" t="str">
        <f>VLOOKUP(D1474,'Tên SP'!B$2:C$1070,2,0)</f>
        <v>NƯỚC GIẶT LIX HƯƠNG NƯỚC HOA 3,5KG/T04 TÚI</v>
      </c>
      <c r="F1474" s="4">
        <v>92400</v>
      </c>
      <c r="G1474">
        <v>1</v>
      </c>
      <c r="H1474" s="4">
        <v>92400</v>
      </c>
      <c r="I1474" s="4">
        <v>0</v>
      </c>
      <c r="J1474" s="5">
        <f t="shared" si="23"/>
        <v>92400</v>
      </c>
    </row>
    <row r="1475" spans="1:10" x14ac:dyDescent="0.25">
      <c r="A1475" s="6">
        <v>1486</v>
      </c>
      <c r="B1475" t="s">
        <v>2450</v>
      </c>
      <c r="C1475" t="s">
        <v>1195</v>
      </c>
      <c r="D1475" t="s">
        <v>184</v>
      </c>
      <c r="E1475" t="str">
        <f>VLOOKUP(D1475,'Tên SP'!B$2:C$1070,2,0)</f>
        <v>GEL DIỆT KHUẨN TAY ON1 60ML/CH80</v>
      </c>
      <c r="F1475" s="4">
        <v>24000</v>
      </c>
      <c r="G1475">
        <v>1</v>
      </c>
      <c r="H1475" s="4">
        <v>24000</v>
      </c>
      <c r="I1475" s="4">
        <v>-24000</v>
      </c>
      <c r="J1475" s="5">
        <f t="shared" si="23"/>
        <v>0</v>
      </c>
    </row>
    <row r="1476" spans="1:10" x14ac:dyDescent="0.25">
      <c r="A1476" s="6">
        <v>1487</v>
      </c>
      <c r="B1476" t="s">
        <v>2451</v>
      </c>
      <c r="C1476" t="s">
        <v>1196</v>
      </c>
      <c r="D1476" t="s">
        <v>102</v>
      </c>
      <c r="E1476" t="str">
        <f>VLOOKUP(D1476,'Tên SP'!B$2:C$1070,2,0)</f>
        <v>NƯỚC GIẶT LIX HƯƠNG NƯỚC HOA 3,5KG/T04 TÚI</v>
      </c>
      <c r="F1476" s="4">
        <v>92400</v>
      </c>
      <c r="G1476">
        <v>1</v>
      </c>
      <c r="H1476" s="4">
        <v>92400</v>
      </c>
      <c r="I1476" s="4">
        <v>-13860</v>
      </c>
      <c r="J1476" s="5">
        <f t="shared" si="23"/>
        <v>78540</v>
      </c>
    </row>
    <row r="1477" spans="1:10" x14ac:dyDescent="0.25">
      <c r="A1477" s="6">
        <v>1488</v>
      </c>
      <c r="B1477" t="s">
        <v>2452</v>
      </c>
      <c r="C1477" t="s">
        <v>1197</v>
      </c>
      <c r="D1477" t="s">
        <v>102</v>
      </c>
      <c r="E1477" t="str">
        <f>VLOOKUP(D1477,'Tên SP'!B$2:C$1070,2,0)</f>
        <v>NƯỚC GIẶT LIX HƯƠNG NƯỚC HOA 3,5KG/T04 TÚI</v>
      </c>
      <c r="F1477" s="4">
        <v>92400</v>
      </c>
      <c r="G1477">
        <v>1</v>
      </c>
      <c r="H1477" s="4">
        <v>92400</v>
      </c>
      <c r="I1477" s="4">
        <v>0</v>
      </c>
      <c r="J1477" s="5">
        <f t="shared" si="23"/>
        <v>92400</v>
      </c>
    </row>
    <row r="1478" spans="1:10" x14ac:dyDescent="0.25">
      <c r="A1478" s="6">
        <v>1489</v>
      </c>
      <c r="B1478" t="s">
        <v>2453</v>
      </c>
      <c r="C1478" t="s">
        <v>1198</v>
      </c>
      <c r="D1478" t="s">
        <v>83</v>
      </c>
      <c r="E1478" t="str">
        <f>VLOOKUP(D1478,'Tên SP'!B$2:C$1070,2,0)</f>
        <v>NƯỚC RỬA CHÉN SIÊU SẠCH TRÀ 1,5KG/T08- TÚI</v>
      </c>
      <c r="F1478" s="4">
        <v>34320</v>
      </c>
      <c r="G1478">
        <v>1</v>
      </c>
      <c r="H1478" s="4">
        <v>34320</v>
      </c>
      <c r="I1478" s="4">
        <v>-6505</v>
      </c>
      <c r="J1478" s="5">
        <f t="shared" si="23"/>
        <v>27815</v>
      </c>
    </row>
    <row r="1479" spans="1:10" x14ac:dyDescent="0.25">
      <c r="A1479" s="6">
        <v>1490</v>
      </c>
      <c r="B1479" t="s">
        <v>2453</v>
      </c>
      <c r="C1479" t="s">
        <v>1198</v>
      </c>
      <c r="D1479" t="s">
        <v>42</v>
      </c>
      <c r="E1479" t="str">
        <f>VLOOKUP(D1479,'Tên SP'!B$2:C$1070,2,0)</f>
        <v>BỘT GIẶT LIXE HƯƠNG NƯỚC HOA 2,4KG/05</v>
      </c>
      <c r="F1479" s="4">
        <v>66000</v>
      </c>
      <c r="G1479">
        <v>1</v>
      </c>
      <c r="H1479" s="4">
        <v>66000</v>
      </c>
      <c r="I1479" s="4">
        <v>-12508</v>
      </c>
      <c r="J1479" s="5">
        <f t="shared" si="23"/>
        <v>53492</v>
      </c>
    </row>
    <row r="1480" spans="1:10" x14ac:dyDescent="0.25">
      <c r="A1480" s="6">
        <v>1491</v>
      </c>
      <c r="B1480" t="s">
        <v>2454</v>
      </c>
      <c r="C1480" t="s">
        <v>1199</v>
      </c>
      <c r="D1480" t="s">
        <v>89</v>
      </c>
      <c r="E1480" t="str">
        <f>VLOOKUP(D1480,'Tên SP'!B$2:C$1070,2,0)</f>
        <v>NƯỚC RỬA CHÉN SIÊU SẠCH TRÀ 750G/CH12</v>
      </c>
      <c r="F1480" s="4">
        <v>19000</v>
      </c>
      <c r="G1480">
        <v>1</v>
      </c>
      <c r="H1480" s="4">
        <v>19000</v>
      </c>
      <c r="I1480" s="4">
        <v>-8000</v>
      </c>
      <c r="J1480" s="5">
        <f t="shared" si="23"/>
        <v>11000</v>
      </c>
    </row>
    <row r="1481" spans="1:10" x14ac:dyDescent="0.25">
      <c r="A1481" s="6">
        <v>1492</v>
      </c>
      <c r="B1481" t="s">
        <v>2455</v>
      </c>
      <c r="C1481" t="s">
        <v>1200</v>
      </c>
      <c r="D1481" t="s">
        <v>23</v>
      </c>
      <c r="E1481" t="str">
        <f>VLOOKUP(D1481,'Tên SP'!B$2:C$1070,2,0)</f>
        <v>NƯỚC XẢ VẢI LIXSOFT 3,6L/C04</v>
      </c>
      <c r="F1481" s="4">
        <v>80960</v>
      </c>
      <c r="G1481">
        <v>1</v>
      </c>
      <c r="H1481" s="4">
        <v>80960</v>
      </c>
      <c r="I1481" s="4">
        <v>-6974</v>
      </c>
      <c r="J1481" s="5">
        <f t="shared" si="23"/>
        <v>73986</v>
      </c>
    </row>
    <row r="1482" spans="1:10" x14ac:dyDescent="0.25">
      <c r="A1482" s="6">
        <v>1493</v>
      </c>
      <c r="B1482" t="s">
        <v>2455</v>
      </c>
      <c r="C1482" t="s">
        <v>1200</v>
      </c>
      <c r="D1482" t="s">
        <v>102</v>
      </c>
      <c r="E1482" t="str">
        <f>VLOOKUP(D1482,'Tên SP'!B$2:C$1070,2,0)</f>
        <v>NƯỚC GIẶT LIX HƯƠNG NƯỚC HOA 3,5KG/T04 TÚI</v>
      </c>
      <c r="F1482" s="4">
        <v>92400</v>
      </c>
      <c r="G1482">
        <v>1</v>
      </c>
      <c r="H1482" s="4">
        <v>92400</v>
      </c>
      <c r="I1482" s="4">
        <v>-7960</v>
      </c>
      <c r="J1482" s="5">
        <f t="shared" si="23"/>
        <v>84440</v>
      </c>
    </row>
    <row r="1483" spans="1:10" x14ac:dyDescent="0.25">
      <c r="A1483" s="6">
        <v>1494</v>
      </c>
      <c r="B1483" t="s">
        <v>2456</v>
      </c>
      <c r="C1483" t="s">
        <v>1201</v>
      </c>
      <c r="D1483" t="s">
        <v>102</v>
      </c>
      <c r="E1483" t="str">
        <f>VLOOKUP(D1483,'Tên SP'!B$2:C$1070,2,0)</f>
        <v>NƯỚC GIẶT LIX HƯƠNG NƯỚC HOA 3,5KG/T04 TÚI</v>
      </c>
      <c r="F1483" s="4">
        <v>92400</v>
      </c>
      <c r="G1483">
        <v>1</v>
      </c>
      <c r="H1483" s="4">
        <v>92400</v>
      </c>
      <c r="I1483" s="4">
        <v>-5000</v>
      </c>
      <c r="J1483" s="5">
        <f t="shared" si="23"/>
        <v>87400</v>
      </c>
    </row>
    <row r="1484" spans="1:10" x14ac:dyDescent="0.25">
      <c r="A1484" s="6">
        <v>1495</v>
      </c>
      <c r="B1484" t="s">
        <v>2456</v>
      </c>
      <c r="C1484" t="s">
        <v>1201</v>
      </c>
      <c r="D1484" t="s">
        <v>102</v>
      </c>
      <c r="E1484" t="str">
        <f>VLOOKUP(D1484,'Tên SP'!B$2:C$1070,2,0)</f>
        <v>NƯỚC GIẶT LIX HƯƠNG NƯỚC HOA 3,5KG/T04 TÚI</v>
      </c>
      <c r="F1484" s="4">
        <v>92400</v>
      </c>
      <c r="G1484">
        <v>1</v>
      </c>
      <c r="H1484" s="4">
        <v>92400</v>
      </c>
      <c r="I1484" s="4">
        <v>-5000</v>
      </c>
      <c r="J1484" s="5">
        <f t="shared" si="23"/>
        <v>87400</v>
      </c>
    </row>
    <row r="1485" spans="1:10" x14ac:dyDescent="0.25">
      <c r="A1485" s="6">
        <v>1496</v>
      </c>
      <c r="B1485" t="s">
        <v>2456</v>
      </c>
      <c r="C1485" t="s">
        <v>1201</v>
      </c>
      <c r="D1485" t="s">
        <v>102</v>
      </c>
      <c r="E1485" t="str">
        <f>VLOOKUP(D1485,'Tên SP'!B$2:C$1070,2,0)</f>
        <v>NƯỚC GIẶT LIX HƯƠNG NƯỚC HOA 3,5KG/T04 TÚI</v>
      </c>
      <c r="F1485" s="4">
        <v>92400</v>
      </c>
      <c r="G1485">
        <v>1</v>
      </c>
      <c r="H1485" s="4">
        <v>92400</v>
      </c>
      <c r="I1485" s="4">
        <v>-5000</v>
      </c>
      <c r="J1485" s="5">
        <f t="shared" si="23"/>
        <v>87400</v>
      </c>
    </row>
    <row r="1486" spans="1:10" x14ac:dyDescent="0.25">
      <c r="A1486" s="6">
        <v>1497</v>
      </c>
      <c r="B1486" t="s">
        <v>2456</v>
      </c>
      <c r="C1486" t="s">
        <v>1201</v>
      </c>
      <c r="D1486" t="s">
        <v>102</v>
      </c>
      <c r="E1486" t="str">
        <f>VLOOKUP(D1486,'Tên SP'!B$2:C$1070,2,0)</f>
        <v>NƯỚC GIẶT LIX HƯƠNG NƯỚC HOA 3,5KG/T04 TÚI</v>
      </c>
      <c r="F1486" s="4">
        <v>92400</v>
      </c>
      <c r="G1486">
        <v>1</v>
      </c>
      <c r="H1486" s="4">
        <v>92400</v>
      </c>
      <c r="I1486" s="4">
        <v>-5000</v>
      </c>
      <c r="J1486" s="5">
        <f t="shared" si="23"/>
        <v>87400</v>
      </c>
    </row>
    <row r="1487" spans="1:10" x14ac:dyDescent="0.25">
      <c r="A1487" s="6">
        <v>1498</v>
      </c>
      <c r="B1487" t="s">
        <v>2456</v>
      </c>
      <c r="C1487" t="s">
        <v>1201</v>
      </c>
      <c r="D1487" t="s">
        <v>184</v>
      </c>
      <c r="E1487" t="str">
        <f>VLOOKUP(D1487,'Tên SP'!B$2:C$1070,2,0)</f>
        <v>GEL DIỆT KHUẨN TAY ON1 60ML/CH80</v>
      </c>
      <c r="F1487" s="4">
        <v>24000</v>
      </c>
      <c r="G1487">
        <v>1</v>
      </c>
      <c r="H1487" s="4">
        <v>24000</v>
      </c>
      <c r="I1487" s="4">
        <v>-24000</v>
      </c>
      <c r="J1487" s="5">
        <f t="shared" si="23"/>
        <v>0</v>
      </c>
    </row>
    <row r="1488" spans="1:10" x14ac:dyDescent="0.25">
      <c r="A1488" s="6">
        <v>1499</v>
      </c>
      <c r="B1488" t="s">
        <v>2456</v>
      </c>
      <c r="C1488" t="s">
        <v>1202</v>
      </c>
      <c r="D1488" t="s">
        <v>79</v>
      </c>
      <c r="E1488" t="str">
        <f>VLOOKUP(D1488,'Tên SP'!B$2:C$1070,2,0)</f>
        <v>NƯỚC RỬA CHÉN SIÊU SẠCH CHANH 750G/CH12</v>
      </c>
      <c r="F1488" s="4">
        <v>18000</v>
      </c>
      <c r="G1488">
        <v>1</v>
      </c>
      <c r="H1488" s="4">
        <v>18000</v>
      </c>
      <c r="I1488" s="4">
        <v>-8000</v>
      </c>
      <c r="J1488" s="5">
        <f t="shared" si="23"/>
        <v>10000</v>
      </c>
    </row>
    <row r="1489" spans="1:10" x14ac:dyDescent="0.25">
      <c r="A1489" s="6">
        <v>1500</v>
      </c>
      <c r="B1489" t="s">
        <v>2457</v>
      </c>
      <c r="C1489" t="s">
        <v>1203</v>
      </c>
      <c r="D1489" t="s">
        <v>102</v>
      </c>
      <c r="E1489" t="str">
        <f>VLOOKUP(D1489,'Tên SP'!B$2:C$1070,2,0)</f>
        <v>NƯỚC GIẶT LIX HƯƠNG NƯỚC HOA 3,5KG/T04 TÚI</v>
      </c>
      <c r="F1489" s="4">
        <v>92400</v>
      </c>
      <c r="G1489">
        <v>1</v>
      </c>
      <c r="H1489" s="4">
        <v>92400</v>
      </c>
      <c r="I1489" s="4">
        <v>-13860</v>
      </c>
      <c r="J1489" s="5">
        <f t="shared" si="23"/>
        <v>78540</v>
      </c>
    </row>
    <row r="1490" spans="1:10" x14ac:dyDescent="0.25">
      <c r="A1490" s="6">
        <v>1501</v>
      </c>
      <c r="B1490" t="s">
        <v>2458</v>
      </c>
      <c r="C1490" t="s">
        <v>1204</v>
      </c>
      <c r="D1490" t="s">
        <v>71</v>
      </c>
      <c r="E1490" t="str">
        <f>VLOOKUP(D1490,'Tên SP'!B$2:C$1070,2,0)</f>
        <v>NƯỚC RỬA CHÉN SIÊU SẠCH CHANH 3,5KG/T04- TÚI</v>
      </c>
      <c r="F1490" s="4">
        <v>73000</v>
      </c>
      <c r="G1490">
        <v>1</v>
      </c>
      <c r="H1490" s="4">
        <v>73000</v>
      </c>
      <c r="I1490" s="4">
        <v>0</v>
      </c>
      <c r="J1490" s="5">
        <f t="shared" si="23"/>
        <v>73000</v>
      </c>
    </row>
    <row r="1491" spans="1:10" x14ac:dyDescent="0.25">
      <c r="A1491" s="6">
        <v>1502</v>
      </c>
      <c r="B1491" t="s">
        <v>2458</v>
      </c>
      <c r="C1491" t="s">
        <v>1204</v>
      </c>
      <c r="D1491" t="s">
        <v>102</v>
      </c>
      <c r="E1491" t="str">
        <f>VLOOKUP(D1491,'Tên SP'!B$2:C$1070,2,0)</f>
        <v>NƯỚC GIẶT LIX HƯƠNG NƯỚC HOA 3,5KG/T04 TÚI</v>
      </c>
      <c r="F1491" s="4">
        <v>92400</v>
      </c>
      <c r="G1491">
        <v>1</v>
      </c>
      <c r="H1491" s="4">
        <v>92400</v>
      </c>
      <c r="I1491" s="4">
        <v>0</v>
      </c>
      <c r="J1491" s="5">
        <f t="shared" si="23"/>
        <v>92400</v>
      </c>
    </row>
    <row r="1492" spans="1:10" x14ac:dyDescent="0.25">
      <c r="A1492" s="6">
        <v>1503</v>
      </c>
      <c r="B1492" t="s">
        <v>2458</v>
      </c>
      <c r="C1492" t="s">
        <v>1204</v>
      </c>
      <c r="D1492" t="s">
        <v>102</v>
      </c>
      <c r="E1492" t="str">
        <f>VLOOKUP(D1492,'Tên SP'!B$2:C$1070,2,0)</f>
        <v>NƯỚC GIẶT LIX HƯƠNG NƯỚC HOA 3,5KG/T04 TÚI</v>
      </c>
      <c r="F1492" s="4">
        <v>92400</v>
      </c>
      <c r="G1492">
        <v>1</v>
      </c>
      <c r="H1492" s="4">
        <v>92400</v>
      </c>
      <c r="I1492" s="4">
        <v>0</v>
      </c>
      <c r="J1492" s="5">
        <f t="shared" si="23"/>
        <v>92400</v>
      </c>
    </row>
    <row r="1493" spans="1:10" x14ac:dyDescent="0.25">
      <c r="A1493" s="6">
        <v>1504</v>
      </c>
      <c r="B1493" t="s">
        <v>2458</v>
      </c>
      <c r="C1493" t="s">
        <v>1204</v>
      </c>
      <c r="D1493" t="s">
        <v>102</v>
      </c>
      <c r="E1493" t="str">
        <f>VLOOKUP(D1493,'Tên SP'!B$2:C$1070,2,0)</f>
        <v>NƯỚC GIẶT LIX HƯƠNG NƯỚC HOA 3,5KG/T04 TÚI</v>
      </c>
      <c r="F1493" s="4">
        <v>92400</v>
      </c>
      <c r="G1493">
        <v>1</v>
      </c>
      <c r="H1493" s="4">
        <v>92400</v>
      </c>
      <c r="I1493" s="4">
        <v>0</v>
      </c>
      <c r="J1493" s="5">
        <f t="shared" si="23"/>
        <v>92400</v>
      </c>
    </row>
    <row r="1494" spans="1:10" x14ac:dyDescent="0.25">
      <c r="A1494" s="6">
        <v>1505</v>
      </c>
      <c r="B1494" t="s">
        <v>2458</v>
      </c>
      <c r="C1494" t="s">
        <v>1204</v>
      </c>
      <c r="D1494" t="s">
        <v>102</v>
      </c>
      <c r="E1494" t="str">
        <f>VLOOKUP(D1494,'Tên SP'!B$2:C$1070,2,0)</f>
        <v>NƯỚC GIẶT LIX HƯƠNG NƯỚC HOA 3,5KG/T04 TÚI</v>
      </c>
      <c r="F1494" s="4">
        <v>92400</v>
      </c>
      <c r="G1494">
        <v>1</v>
      </c>
      <c r="H1494" s="4">
        <v>92400</v>
      </c>
      <c r="I1494" s="4">
        <v>0</v>
      </c>
      <c r="J1494" s="5">
        <f t="shared" si="23"/>
        <v>92400</v>
      </c>
    </row>
    <row r="1495" spans="1:10" x14ac:dyDescent="0.25">
      <c r="A1495" s="6">
        <v>1506</v>
      </c>
      <c r="B1495" t="s">
        <v>2458</v>
      </c>
      <c r="C1495" t="s">
        <v>1204</v>
      </c>
      <c r="D1495" t="s">
        <v>184</v>
      </c>
      <c r="E1495" t="str">
        <f>VLOOKUP(D1495,'Tên SP'!B$2:C$1070,2,0)</f>
        <v>GEL DIỆT KHUẨN TAY ON1 60ML/CH80</v>
      </c>
      <c r="F1495" s="4">
        <v>24000</v>
      </c>
      <c r="G1495">
        <v>1</v>
      </c>
      <c r="H1495" s="4">
        <v>24000</v>
      </c>
      <c r="I1495" s="4">
        <v>-24000</v>
      </c>
      <c r="J1495" s="5">
        <f t="shared" si="23"/>
        <v>0</v>
      </c>
    </row>
    <row r="1496" spans="1:10" x14ac:dyDescent="0.25">
      <c r="A1496" s="6">
        <v>1507</v>
      </c>
      <c r="B1496" t="s">
        <v>2459</v>
      </c>
      <c r="C1496" t="s">
        <v>1205</v>
      </c>
      <c r="D1496" t="s">
        <v>102</v>
      </c>
      <c r="E1496" t="str">
        <f>VLOOKUP(D1496,'Tên SP'!B$2:C$1070,2,0)</f>
        <v>NƯỚC GIẶT LIX HƯƠNG NƯỚC HOA 3,5KG/T04 TÚI</v>
      </c>
      <c r="F1496" s="4">
        <v>92400</v>
      </c>
      <c r="G1496">
        <v>1</v>
      </c>
      <c r="H1496" s="4">
        <v>92400</v>
      </c>
      <c r="I1496" s="4">
        <v>-13860</v>
      </c>
      <c r="J1496" s="5">
        <f t="shared" si="23"/>
        <v>78540</v>
      </c>
    </row>
    <row r="1497" spans="1:10" x14ac:dyDescent="0.25">
      <c r="A1497" s="6">
        <v>1508</v>
      </c>
      <c r="B1497" t="s">
        <v>2460</v>
      </c>
      <c r="C1497" t="s">
        <v>1206</v>
      </c>
      <c r="D1497" t="s">
        <v>100</v>
      </c>
      <c r="E1497" t="str">
        <f>VLOOKUP(D1497,'Tên SP'!B$2:C$1070,2,0)</f>
        <v>NƯỚC GIẶT LIX HƯƠNG NƯỚC HOA 3,6KG/C04</v>
      </c>
      <c r="F1497" s="4">
        <v>117000</v>
      </c>
      <c r="G1497">
        <v>1</v>
      </c>
      <c r="H1497" s="4">
        <v>117000</v>
      </c>
      <c r="I1497" s="4">
        <v>-15000</v>
      </c>
      <c r="J1497" s="5">
        <f t="shared" si="23"/>
        <v>102000</v>
      </c>
    </row>
    <row r="1498" spans="1:10" x14ac:dyDescent="0.25">
      <c r="A1498" s="6">
        <v>1509</v>
      </c>
      <c r="B1498" t="s">
        <v>2461</v>
      </c>
      <c r="C1498" t="s">
        <v>1207</v>
      </c>
      <c r="D1498" t="s">
        <v>9</v>
      </c>
      <c r="E1498" t="str">
        <f>VLOOKUP(D1498,'Tên SP'!B$2:C$1070,2,0)</f>
        <v>NƯỚC GIẶT LIX ĐẬM ĐẶC 3,5KG/T04 TÚI</v>
      </c>
      <c r="F1498" s="4">
        <v>101000</v>
      </c>
      <c r="G1498">
        <v>1</v>
      </c>
      <c r="H1498" s="4">
        <v>101000</v>
      </c>
      <c r="I1498" s="4">
        <v>-8000</v>
      </c>
      <c r="J1498" s="5">
        <f t="shared" si="23"/>
        <v>93000</v>
      </c>
    </row>
    <row r="1499" spans="1:10" x14ac:dyDescent="0.25">
      <c r="A1499" s="6">
        <v>1510</v>
      </c>
      <c r="B1499" t="s">
        <v>2462</v>
      </c>
      <c r="C1499" t="s">
        <v>1208</v>
      </c>
      <c r="D1499" t="s">
        <v>31</v>
      </c>
      <c r="E1499" t="str">
        <f>VLOOKUP(D1499,'Tên SP'!B$2:C$1070,2,0)</f>
        <v>BỘT GIẶT LIXE 5,5KG/03</v>
      </c>
      <c r="F1499" s="4">
        <v>127600</v>
      </c>
      <c r="G1499">
        <v>1</v>
      </c>
      <c r="H1499" s="4">
        <v>127600</v>
      </c>
      <c r="I1499" s="4">
        <v>-15000</v>
      </c>
      <c r="J1499" s="5">
        <f t="shared" si="23"/>
        <v>112600</v>
      </c>
    </row>
    <row r="1500" spans="1:10" x14ac:dyDescent="0.25">
      <c r="A1500" s="6">
        <v>1511</v>
      </c>
      <c r="B1500" t="s">
        <v>2463</v>
      </c>
      <c r="C1500" t="s">
        <v>1209</v>
      </c>
      <c r="D1500" t="s">
        <v>164</v>
      </c>
      <c r="E1500" t="str">
        <f>VLOOKUP(D1500,'Tên SP'!B$2:C$1070,2,0)</f>
        <v>NƯỚC GIẶT XẢ MATIC ON1 GARDEN OF FAME 3,5KG/T04 (TÚI)</v>
      </c>
      <c r="F1500" s="4">
        <v>145000</v>
      </c>
      <c r="G1500">
        <v>1</v>
      </c>
      <c r="H1500" s="4">
        <v>145000</v>
      </c>
      <c r="I1500" s="4">
        <v>-15000</v>
      </c>
      <c r="J1500" s="5">
        <f t="shared" si="23"/>
        <v>130000</v>
      </c>
    </row>
    <row r="1501" spans="1:10" x14ac:dyDescent="0.25">
      <c r="A1501" s="6">
        <v>1512</v>
      </c>
      <c r="B1501" t="s">
        <v>2464</v>
      </c>
      <c r="C1501" t="s">
        <v>1210</v>
      </c>
      <c r="D1501" t="s">
        <v>28</v>
      </c>
      <c r="E1501" t="str">
        <f>VLOOKUP(D1501,'Tên SP'!B$2:C$1070,2,0)</f>
        <v>NƯỚC XẢ VẢI LIXSOFT HƯƠNG HOA HỒNG 3,6L/C04</v>
      </c>
      <c r="F1501" s="4">
        <v>89000</v>
      </c>
      <c r="G1501">
        <v>1</v>
      </c>
      <c r="H1501" s="4">
        <v>89000</v>
      </c>
      <c r="I1501" s="4">
        <v>0</v>
      </c>
      <c r="J1501" s="5">
        <f t="shared" si="23"/>
        <v>89000</v>
      </c>
    </row>
    <row r="1502" spans="1:10" x14ac:dyDescent="0.25">
      <c r="A1502" s="6">
        <v>1513</v>
      </c>
      <c r="B1502" t="s">
        <v>2465</v>
      </c>
      <c r="C1502" t="s">
        <v>1211</v>
      </c>
      <c r="D1502" t="s">
        <v>97</v>
      </c>
      <c r="E1502" t="str">
        <f>VLOOKUP(D1502,'Tên SP'!B$2:C$1070,2,0)</f>
        <v>NƯỚC GIẶT LIX ĐẬM ĐẶC 3,6KG/C04</v>
      </c>
      <c r="F1502" s="4">
        <v>104400</v>
      </c>
      <c r="G1502">
        <v>1</v>
      </c>
      <c r="H1502" s="4">
        <v>104400</v>
      </c>
      <c r="I1502" s="4">
        <v>0</v>
      </c>
      <c r="J1502" s="5">
        <f t="shared" si="23"/>
        <v>104400</v>
      </c>
    </row>
    <row r="1503" spans="1:10" x14ac:dyDescent="0.25">
      <c r="A1503" s="6">
        <v>1514</v>
      </c>
      <c r="B1503" t="s">
        <v>2466</v>
      </c>
      <c r="C1503" t="s">
        <v>1212</v>
      </c>
      <c r="D1503" t="s">
        <v>9</v>
      </c>
      <c r="E1503" t="str">
        <f>VLOOKUP(D1503,'Tên SP'!B$2:C$1070,2,0)</f>
        <v>NƯỚC GIẶT LIX ĐẬM ĐẶC 3,5KG/T04 TÚI</v>
      </c>
      <c r="F1503" s="4">
        <v>101000</v>
      </c>
      <c r="G1503">
        <v>1</v>
      </c>
      <c r="H1503" s="4">
        <v>101000</v>
      </c>
      <c r="I1503" s="4">
        <v>-15000</v>
      </c>
      <c r="J1503" s="5">
        <f t="shared" si="23"/>
        <v>86000</v>
      </c>
    </row>
    <row r="1504" spans="1:10" x14ac:dyDescent="0.25">
      <c r="A1504" s="6">
        <v>1515</v>
      </c>
      <c r="B1504" t="s">
        <v>2467</v>
      </c>
      <c r="C1504" t="s">
        <v>1213</v>
      </c>
      <c r="D1504" t="s">
        <v>38</v>
      </c>
      <c r="E1504" t="str">
        <f>VLOOKUP(D1504,'Tên SP'!B$2:C$1070,2,0)</f>
        <v>BỘT GIẶT LIXE HƯƠNG NƯỚC HOA 5,5KG/03</v>
      </c>
      <c r="F1504" s="4">
        <v>141000</v>
      </c>
      <c r="G1504">
        <v>1</v>
      </c>
      <c r="H1504" s="4">
        <v>141000</v>
      </c>
      <c r="I1504" s="4">
        <v>-15000</v>
      </c>
      <c r="J1504" s="5">
        <f t="shared" si="23"/>
        <v>126000</v>
      </c>
    </row>
    <row r="1505" spans="1:10" x14ac:dyDescent="0.25">
      <c r="A1505" s="6">
        <v>1516</v>
      </c>
      <c r="B1505" t="s">
        <v>2468</v>
      </c>
      <c r="C1505" t="s">
        <v>1214</v>
      </c>
      <c r="D1505" t="s">
        <v>106</v>
      </c>
      <c r="E1505" t="str">
        <f>VLOOKUP(D1505,'Tên SP'!B$2:C$1070,2,0)</f>
        <v>NƯỚC GIẶT LIX SIÊU SẠCH HOA ANH ĐÀO 2.4KG/T06</v>
      </c>
      <c r="F1505" s="4">
        <v>69000</v>
      </c>
      <c r="G1505">
        <v>1</v>
      </c>
      <c r="H1505" s="4">
        <v>69000</v>
      </c>
      <c r="I1505" s="4">
        <v>-9700</v>
      </c>
      <c r="J1505" s="5">
        <f t="shared" si="23"/>
        <v>59300</v>
      </c>
    </row>
    <row r="1506" spans="1:10" x14ac:dyDescent="0.25">
      <c r="A1506" s="6">
        <v>1517</v>
      </c>
      <c r="B1506" t="s">
        <v>2468</v>
      </c>
      <c r="C1506" t="s">
        <v>1214</v>
      </c>
      <c r="D1506" t="s">
        <v>106</v>
      </c>
      <c r="E1506" t="str">
        <f>VLOOKUP(D1506,'Tên SP'!B$2:C$1070,2,0)</f>
        <v>NƯỚC GIẶT LIX SIÊU SẠCH HOA ANH ĐÀO 2.4KG/T06</v>
      </c>
      <c r="F1506" s="4">
        <v>69000</v>
      </c>
      <c r="G1506">
        <v>1</v>
      </c>
      <c r="H1506" s="4">
        <v>69000</v>
      </c>
      <c r="I1506" s="4">
        <v>-9700</v>
      </c>
      <c r="J1506" s="5">
        <f t="shared" si="23"/>
        <v>59300</v>
      </c>
    </row>
    <row r="1507" spans="1:10" x14ac:dyDescent="0.25">
      <c r="A1507" s="6">
        <v>1518</v>
      </c>
      <c r="B1507" t="s">
        <v>2468</v>
      </c>
      <c r="C1507" t="s">
        <v>1214</v>
      </c>
      <c r="D1507" t="s">
        <v>106</v>
      </c>
      <c r="E1507" t="str">
        <f>VLOOKUP(D1507,'Tên SP'!B$2:C$1070,2,0)</f>
        <v>NƯỚC GIẶT LIX SIÊU SẠCH HOA ANH ĐÀO 2.4KG/T06</v>
      </c>
      <c r="F1507" s="4">
        <v>69000</v>
      </c>
      <c r="G1507">
        <v>1</v>
      </c>
      <c r="H1507" s="4">
        <v>69000</v>
      </c>
      <c r="I1507" s="4">
        <v>-9700</v>
      </c>
      <c r="J1507" s="5">
        <f t="shared" si="23"/>
        <v>59300</v>
      </c>
    </row>
    <row r="1508" spans="1:10" x14ac:dyDescent="0.25">
      <c r="A1508" s="6">
        <v>1519</v>
      </c>
      <c r="B1508" t="s">
        <v>2468</v>
      </c>
      <c r="C1508" t="s">
        <v>1214</v>
      </c>
      <c r="D1508" t="s">
        <v>106</v>
      </c>
      <c r="E1508" t="str">
        <f>VLOOKUP(D1508,'Tên SP'!B$2:C$1070,2,0)</f>
        <v>NƯỚC GIẶT LIX SIÊU SẠCH HOA ANH ĐÀO 2.4KG/T06</v>
      </c>
      <c r="F1508" s="4">
        <v>69000</v>
      </c>
      <c r="G1508">
        <v>1</v>
      </c>
      <c r="H1508" s="4">
        <v>69000</v>
      </c>
      <c r="I1508" s="4">
        <v>-9700</v>
      </c>
      <c r="J1508" s="5">
        <f t="shared" si="23"/>
        <v>59300</v>
      </c>
    </row>
    <row r="1509" spans="1:10" x14ac:dyDescent="0.25">
      <c r="A1509" s="6">
        <v>1520</v>
      </c>
      <c r="B1509" t="s">
        <v>2468</v>
      </c>
      <c r="C1509" t="s">
        <v>1214</v>
      </c>
      <c r="D1509" t="s">
        <v>106</v>
      </c>
      <c r="E1509" t="str">
        <f>VLOOKUP(D1509,'Tên SP'!B$2:C$1070,2,0)</f>
        <v>NƯỚC GIẶT LIX SIÊU SẠCH HOA ANH ĐÀO 2.4KG/T06</v>
      </c>
      <c r="F1509" s="4">
        <v>69000</v>
      </c>
      <c r="G1509">
        <v>1</v>
      </c>
      <c r="H1509" s="4">
        <v>69000</v>
      </c>
      <c r="I1509" s="4">
        <v>-9700</v>
      </c>
      <c r="J1509" s="5">
        <f t="shared" si="23"/>
        <v>59300</v>
      </c>
    </row>
    <row r="1510" spans="1:10" x14ac:dyDescent="0.25">
      <c r="A1510" s="6">
        <v>1521</v>
      </c>
      <c r="B1510" t="s">
        <v>2468</v>
      </c>
      <c r="C1510" t="s">
        <v>1214</v>
      </c>
      <c r="D1510" t="s">
        <v>106</v>
      </c>
      <c r="E1510" t="str">
        <f>VLOOKUP(D1510,'Tên SP'!B$2:C$1070,2,0)</f>
        <v>NƯỚC GIẶT LIX SIÊU SẠCH HOA ANH ĐÀO 2.4KG/T06</v>
      </c>
      <c r="F1510" s="4">
        <v>69000</v>
      </c>
      <c r="G1510">
        <v>1</v>
      </c>
      <c r="H1510" s="4">
        <v>69000</v>
      </c>
      <c r="I1510" s="4">
        <v>-9700</v>
      </c>
      <c r="J1510" s="5">
        <f t="shared" si="23"/>
        <v>59300</v>
      </c>
    </row>
    <row r="1511" spans="1:10" x14ac:dyDescent="0.25">
      <c r="A1511" s="6">
        <v>1522</v>
      </c>
      <c r="B1511" t="s">
        <v>2468</v>
      </c>
      <c r="C1511" t="s">
        <v>1214</v>
      </c>
      <c r="D1511" t="s">
        <v>106</v>
      </c>
      <c r="E1511" t="str">
        <f>VLOOKUP(D1511,'Tên SP'!B$2:C$1070,2,0)</f>
        <v>NƯỚC GIẶT LIX SIÊU SẠCH HOA ANH ĐÀO 2.4KG/T06</v>
      </c>
      <c r="F1511" s="4">
        <v>69000</v>
      </c>
      <c r="G1511">
        <v>1</v>
      </c>
      <c r="H1511" s="4">
        <v>69000</v>
      </c>
      <c r="I1511" s="4">
        <v>-9700</v>
      </c>
      <c r="J1511" s="5">
        <f t="shared" si="23"/>
        <v>59300</v>
      </c>
    </row>
    <row r="1512" spans="1:10" x14ac:dyDescent="0.25">
      <c r="A1512" s="6">
        <v>1523</v>
      </c>
      <c r="B1512" t="s">
        <v>2468</v>
      </c>
      <c r="C1512" t="s">
        <v>1214</v>
      </c>
      <c r="D1512" t="s">
        <v>106</v>
      </c>
      <c r="E1512" t="str">
        <f>VLOOKUP(D1512,'Tên SP'!B$2:C$1070,2,0)</f>
        <v>NƯỚC GIẶT LIX SIÊU SẠCH HOA ANH ĐÀO 2.4KG/T06</v>
      </c>
      <c r="F1512" s="4">
        <v>69000</v>
      </c>
      <c r="G1512">
        <v>1</v>
      </c>
      <c r="H1512" s="4">
        <v>69000</v>
      </c>
      <c r="I1512" s="4">
        <v>-9700</v>
      </c>
      <c r="J1512" s="5">
        <f t="shared" si="23"/>
        <v>59300</v>
      </c>
    </row>
    <row r="1513" spans="1:10" x14ac:dyDescent="0.25">
      <c r="A1513" s="6">
        <v>1524</v>
      </c>
      <c r="B1513" t="s">
        <v>2469</v>
      </c>
      <c r="C1513" t="s">
        <v>1215</v>
      </c>
      <c r="D1513" t="s">
        <v>77</v>
      </c>
      <c r="E1513" t="str">
        <f>VLOOKUP(D1513,'Tên SP'!B$2:C$1070,2,0)</f>
        <v>NƯỚC RỬA CHÉN SIÊU SẠCH CHANH 1,4KG/C08</v>
      </c>
      <c r="F1513" s="4">
        <v>43000</v>
      </c>
      <c r="G1513">
        <v>1</v>
      </c>
      <c r="H1513" s="4">
        <v>43000</v>
      </c>
      <c r="I1513" s="4">
        <v>0</v>
      </c>
      <c r="J1513" s="5">
        <f t="shared" si="23"/>
        <v>43000</v>
      </c>
    </row>
    <row r="1514" spans="1:10" x14ac:dyDescent="0.25">
      <c r="A1514" s="6">
        <v>1525</v>
      </c>
      <c r="B1514" t="s">
        <v>2470</v>
      </c>
      <c r="C1514" t="s">
        <v>1216</v>
      </c>
      <c r="D1514" t="s">
        <v>28</v>
      </c>
      <c r="E1514" t="str">
        <f>VLOOKUP(D1514,'Tên SP'!B$2:C$1070,2,0)</f>
        <v>NƯỚC XẢ VẢI LIXSOFT HƯƠNG HOA HỒNG 3,6L/C04</v>
      </c>
      <c r="F1514" s="4">
        <v>80100</v>
      </c>
      <c r="G1514">
        <v>1</v>
      </c>
      <c r="H1514" s="4">
        <v>80100</v>
      </c>
      <c r="I1514" s="4">
        <v>-10704</v>
      </c>
      <c r="J1514" s="5">
        <f t="shared" si="23"/>
        <v>69396</v>
      </c>
    </row>
    <row r="1515" spans="1:10" x14ac:dyDescent="0.25">
      <c r="A1515" s="6">
        <v>1526</v>
      </c>
      <c r="B1515" t="s">
        <v>2470</v>
      </c>
      <c r="C1515" t="s">
        <v>1216</v>
      </c>
      <c r="D1515" t="s">
        <v>28</v>
      </c>
      <c r="E1515" t="str">
        <f>VLOOKUP(D1515,'Tên SP'!B$2:C$1070,2,0)</f>
        <v>NƯỚC XẢ VẢI LIXSOFT HƯƠNG HOA HỒNG 3,6L/C04</v>
      </c>
      <c r="F1515" s="4">
        <v>80100</v>
      </c>
      <c r="G1515">
        <v>1</v>
      </c>
      <c r="H1515" s="4">
        <v>80100</v>
      </c>
      <c r="I1515" s="4">
        <v>-10704</v>
      </c>
      <c r="J1515" s="5">
        <f t="shared" si="23"/>
        <v>69396</v>
      </c>
    </row>
    <row r="1516" spans="1:10" x14ac:dyDescent="0.25">
      <c r="A1516" s="6">
        <v>1527</v>
      </c>
      <c r="B1516" t="s">
        <v>2471</v>
      </c>
      <c r="C1516" t="s">
        <v>1217</v>
      </c>
      <c r="D1516" t="s">
        <v>77</v>
      </c>
      <c r="E1516" t="str">
        <f>VLOOKUP(D1516,'Tên SP'!B$2:C$1070,2,0)</f>
        <v>NƯỚC RỬA CHÉN SIÊU SẠCH CHANH 1,4KG/C08</v>
      </c>
      <c r="F1516" s="4">
        <v>39200</v>
      </c>
      <c r="G1516">
        <v>1</v>
      </c>
      <c r="H1516" s="4">
        <v>39200</v>
      </c>
      <c r="I1516" s="4">
        <v>-5880</v>
      </c>
      <c r="J1516" s="5">
        <f t="shared" si="23"/>
        <v>33320</v>
      </c>
    </row>
    <row r="1517" spans="1:10" x14ac:dyDescent="0.25">
      <c r="A1517" s="6">
        <v>1528</v>
      </c>
      <c r="B1517" t="s">
        <v>2471</v>
      </c>
      <c r="C1517" t="s">
        <v>1218</v>
      </c>
      <c r="D1517" t="s">
        <v>100</v>
      </c>
      <c r="E1517" t="str">
        <f>VLOOKUP(D1517,'Tên SP'!B$2:C$1070,2,0)</f>
        <v>NƯỚC GIẶT LIX HƯƠNG NƯỚC HOA 3,6KG/C04</v>
      </c>
      <c r="F1517" s="4">
        <v>104400</v>
      </c>
      <c r="G1517">
        <v>1</v>
      </c>
      <c r="H1517" s="4">
        <v>104400</v>
      </c>
      <c r="I1517" s="4">
        <v>-15000</v>
      </c>
      <c r="J1517" s="5">
        <f t="shared" si="23"/>
        <v>89400</v>
      </c>
    </row>
    <row r="1518" spans="1:10" x14ac:dyDescent="0.25">
      <c r="A1518" s="6">
        <v>1529</v>
      </c>
      <c r="B1518" t="s">
        <v>2472</v>
      </c>
      <c r="C1518" t="s">
        <v>1219</v>
      </c>
      <c r="D1518" t="s">
        <v>102</v>
      </c>
      <c r="E1518" t="str">
        <f>VLOOKUP(D1518,'Tên SP'!B$2:C$1070,2,0)</f>
        <v>NƯỚC GIẶT LIX HƯƠNG NƯỚC HOA 3,5KG/T04 TÚI</v>
      </c>
      <c r="F1518" s="4">
        <v>91400</v>
      </c>
      <c r="G1518">
        <v>1</v>
      </c>
      <c r="H1518" s="4">
        <v>91400</v>
      </c>
      <c r="I1518" s="4">
        <v>-11156</v>
      </c>
      <c r="J1518" s="5">
        <f t="shared" si="23"/>
        <v>80244</v>
      </c>
    </row>
    <row r="1519" spans="1:10" x14ac:dyDescent="0.25">
      <c r="A1519" s="6">
        <v>1530</v>
      </c>
      <c r="B1519" t="s">
        <v>2472</v>
      </c>
      <c r="C1519" t="s">
        <v>1219</v>
      </c>
      <c r="D1519" t="s">
        <v>9</v>
      </c>
      <c r="E1519" t="str">
        <f>VLOOKUP(D1519,'Tên SP'!B$2:C$1070,2,0)</f>
        <v>NƯỚC GIẶT LIX ĐẬM ĐẶC 3,5KG/T04 TÚI</v>
      </c>
      <c r="F1519" s="4">
        <v>91400</v>
      </c>
      <c r="G1519">
        <v>1</v>
      </c>
      <c r="H1519" s="4">
        <v>91400</v>
      </c>
      <c r="I1519" s="4">
        <v>-11156</v>
      </c>
      <c r="J1519" s="5">
        <f t="shared" si="23"/>
        <v>80244</v>
      </c>
    </row>
    <row r="1520" spans="1:10" x14ac:dyDescent="0.25">
      <c r="A1520" s="6">
        <v>1531</v>
      </c>
      <c r="B1520" t="s">
        <v>2473</v>
      </c>
      <c r="C1520" t="s">
        <v>1220</v>
      </c>
      <c r="D1520" t="s">
        <v>106</v>
      </c>
      <c r="E1520" t="str">
        <f>VLOOKUP(D1520,'Tên SP'!B$2:C$1070,2,0)</f>
        <v>NƯỚC GIẶT LIX SIÊU SẠCH HOA ANH ĐÀO 2.4KG/T06</v>
      </c>
      <c r="F1520" s="4">
        <v>69000</v>
      </c>
      <c r="G1520">
        <v>1</v>
      </c>
      <c r="H1520" s="4">
        <v>69000</v>
      </c>
      <c r="I1520" s="4">
        <v>0</v>
      </c>
      <c r="J1520" s="5">
        <f t="shared" si="23"/>
        <v>69000</v>
      </c>
    </row>
    <row r="1521" spans="1:10" x14ac:dyDescent="0.25">
      <c r="A1521" s="6">
        <v>1532</v>
      </c>
      <c r="B1521" t="s">
        <v>2474</v>
      </c>
      <c r="C1521" t="s">
        <v>1221</v>
      </c>
      <c r="D1521" t="s">
        <v>102</v>
      </c>
      <c r="E1521" t="str">
        <f>VLOOKUP(D1521,'Tên SP'!B$2:C$1070,2,0)</f>
        <v>NƯỚC GIẶT LIX HƯƠNG NƯỚC HOA 3,5KG/T04 TÚI</v>
      </c>
      <c r="F1521" s="4">
        <v>91400</v>
      </c>
      <c r="G1521">
        <v>1</v>
      </c>
      <c r="H1521" s="4">
        <v>91400</v>
      </c>
      <c r="I1521" s="4">
        <v>-7656</v>
      </c>
      <c r="J1521" s="5">
        <f t="shared" si="23"/>
        <v>83744</v>
      </c>
    </row>
    <row r="1522" spans="1:10" x14ac:dyDescent="0.25">
      <c r="A1522" s="6">
        <v>1533</v>
      </c>
      <c r="B1522" t="s">
        <v>2474</v>
      </c>
      <c r="C1522" t="s">
        <v>1221</v>
      </c>
      <c r="D1522" t="s">
        <v>9</v>
      </c>
      <c r="E1522" t="str">
        <f>VLOOKUP(D1522,'Tên SP'!B$2:C$1070,2,0)</f>
        <v>NƯỚC GIẶT LIX ĐẬM ĐẶC 3,5KG/T04 TÚI</v>
      </c>
      <c r="F1522" s="4">
        <v>91400</v>
      </c>
      <c r="G1522">
        <v>1</v>
      </c>
      <c r="H1522" s="4">
        <v>91400</v>
      </c>
      <c r="I1522" s="4">
        <v>-7656</v>
      </c>
      <c r="J1522" s="5">
        <f t="shared" si="23"/>
        <v>83744</v>
      </c>
    </row>
    <row r="1523" spans="1:10" x14ac:dyDescent="0.25">
      <c r="A1523" s="6">
        <v>1534</v>
      </c>
      <c r="B1523" t="s">
        <v>2475</v>
      </c>
      <c r="C1523" t="s">
        <v>1222</v>
      </c>
      <c r="D1523" t="s">
        <v>38</v>
      </c>
      <c r="E1523" t="str">
        <f>VLOOKUP(D1523,'Tên SP'!B$2:C$1070,2,0)</f>
        <v>BỘT GIẶT LIXE HƯƠNG NƯỚC HOA 5,5KG/03</v>
      </c>
      <c r="F1523" s="4">
        <v>126200</v>
      </c>
      <c r="G1523">
        <v>1</v>
      </c>
      <c r="H1523" s="4">
        <v>126200</v>
      </c>
      <c r="I1523" s="4">
        <v>-37860</v>
      </c>
      <c r="J1523" s="5">
        <f t="shared" si="23"/>
        <v>88340</v>
      </c>
    </row>
    <row r="1524" spans="1:10" x14ac:dyDescent="0.25">
      <c r="A1524" s="6">
        <v>1535</v>
      </c>
      <c r="B1524" t="s">
        <v>2476</v>
      </c>
      <c r="C1524" t="s">
        <v>1223</v>
      </c>
      <c r="D1524" t="s">
        <v>100</v>
      </c>
      <c r="E1524" t="str">
        <f>VLOOKUP(D1524,'Tên SP'!B$2:C$1070,2,0)</f>
        <v>NƯỚC GIẶT LIX HƯƠNG NƯỚC HOA 3,6KG/C04</v>
      </c>
      <c r="F1524" s="4">
        <v>104400</v>
      </c>
      <c r="G1524">
        <v>1</v>
      </c>
      <c r="H1524" s="4">
        <v>104400</v>
      </c>
      <c r="I1524" s="4">
        <v>-6667</v>
      </c>
      <c r="J1524" s="5">
        <f t="shared" si="23"/>
        <v>97733</v>
      </c>
    </row>
    <row r="1525" spans="1:10" x14ac:dyDescent="0.25">
      <c r="A1525" s="6">
        <v>1536</v>
      </c>
      <c r="B1525" t="s">
        <v>2476</v>
      </c>
      <c r="C1525" t="s">
        <v>1223</v>
      </c>
      <c r="D1525" t="s">
        <v>100</v>
      </c>
      <c r="E1525" t="str">
        <f>VLOOKUP(D1525,'Tên SP'!B$2:C$1070,2,0)</f>
        <v>NƯỚC GIẶT LIX HƯƠNG NƯỚC HOA 3,6KG/C04</v>
      </c>
      <c r="F1525" s="4">
        <v>104400</v>
      </c>
      <c r="G1525">
        <v>1</v>
      </c>
      <c r="H1525" s="4">
        <v>104400</v>
      </c>
      <c r="I1525" s="4">
        <v>-6667</v>
      </c>
      <c r="J1525" s="5">
        <f t="shared" si="23"/>
        <v>97733</v>
      </c>
    </row>
    <row r="1526" spans="1:10" x14ac:dyDescent="0.25">
      <c r="A1526" s="6">
        <v>1537</v>
      </c>
      <c r="B1526" t="s">
        <v>2476</v>
      </c>
      <c r="C1526" t="s">
        <v>1223</v>
      </c>
      <c r="D1526" t="s">
        <v>100</v>
      </c>
      <c r="E1526" t="str">
        <f>VLOOKUP(D1526,'Tên SP'!B$2:C$1070,2,0)</f>
        <v>NƯỚC GIẶT LIX HƯƠNG NƯỚC HOA 3,6KG/C04</v>
      </c>
      <c r="F1526" s="4">
        <v>104400</v>
      </c>
      <c r="G1526">
        <v>1</v>
      </c>
      <c r="H1526" s="4">
        <v>104400</v>
      </c>
      <c r="I1526" s="4">
        <v>-6666</v>
      </c>
      <c r="J1526" s="5">
        <f t="shared" si="23"/>
        <v>97734</v>
      </c>
    </row>
    <row r="1527" spans="1:10" x14ac:dyDescent="0.25">
      <c r="A1527" s="6">
        <v>1538</v>
      </c>
      <c r="B1527" t="s">
        <v>2476</v>
      </c>
      <c r="C1527" t="s">
        <v>1223</v>
      </c>
      <c r="D1527" t="s">
        <v>184</v>
      </c>
      <c r="E1527" t="str">
        <f>VLOOKUP(D1527,'Tên SP'!B$2:C$1070,2,0)</f>
        <v>GEL DIỆT KHUẨN TAY ON1 60ML/CH80</v>
      </c>
      <c r="F1527" s="4">
        <v>21800</v>
      </c>
      <c r="G1527">
        <v>1</v>
      </c>
      <c r="H1527" s="4">
        <v>21800</v>
      </c>
      <c r="I1527" s="4">
        <v>-21800</v>
      </c>
      <c r="J1527" s="5">
        <f t="shared" ref="J1527:J1590" si="24">H1527+I1527</f>
        <v>0</v>
      </c>
    </row>
    <row r="1528" spans="1:10" x14ac:dyDescent="0.25">
      <c r="A1528" s="6">
        <v>1539</v>
      </c>
      <c r="B1528" t="s">
        <v>2477</v>
      </c>
      <c r="C1528" t="s">
        <v>1224</v>
      </c>
      <c r="D1528" t="s">
        <v>38</v>
      </c>
      <c r="E1528" t="str">
        <f>VLOOKUP(D1528,'Tên SP'!B$2:C$1070,2,0)</f>
        <v>BỘT GIẶT LIXE HƯƠNG NƯỚC HOA 5,5KG/03</v>
      </c>
      <c r="F1528" s="4">
        <v>126200</v>
      </c>
      <c r="G1528">
        <v>1</v>
      </c>
      <c r="H1528" s="4">
        <v>126200</v>
      </c>
      <c r="I1528" s="4">
        <v>-37860</v>
      </c>
      <c r="J1528" s="5">
        <f t="shared" si="24"/>
        <v>88340</v>
      </c>
    </row>
    <row r="1529" spans="1:10" x14ac:dyDescent="0.25">
      <c r="A1529" s="6">
        <v>1540</v>
      </c>
      <c r="B1529" t="s">
        <v>2478</v>
      </c>
      <c r="C1529" t="s">
        <v>1225</v>
      </c>
      <c r="D1529" t="s">
        <v>9</v>
      </c>
      <c r="E1529" t="str">
        <f>VLOOKUP(D1529,'Tên SP'!B$2:C$1070,2,0)</f>
        <v>NƯỚC GIẶT LIX ĐẬM ĐẶC 3,5KG/T04 TÚI</v>
      </c>
      <c r="F1529" s="4">
        <v>91400</v>
      </c>
      <c r="G1529">
        <v>1</v>
      </c>
      <c r="H1529" s="4">
        <v>91400</v>
      </c>
      <c r="I1529" s="4">
        <v>-7920</v>
      </c>
      <c r="J1529" s="5">
        <f t="shared" si="24"/>
        <v>83480</v>
      </c>
    </row>
    <row r="1530" spans="1:10" x14ac:dyDescent="0.25">
      <c r="A1530" s="6">
        <v>1541</v>
      </c>
      <c r="B1530" t="s">
        <v>2478</v>
      </c>
      <c r="C1530" t="s">
        <v>1225</v>
      </c>
      <c r="D1530" t="s">
        <v>28</v>
      </c>
      <c r="E1530" t="str">
        <f>VLOOKUP(D1530,'Tên SP'!B$2:C$1070,2,0)</f>
        <v>NƯỚC XẢ VẢI LIXSOFT HƯƠNG HOA HỒNG 3,6L/C04</v>
      </c>
      <c r="F1530" s="4">
        <v>80100</v>
      </c>
      <c r="G1530">
        <v>1</v>
      </c>
      <c r="H1530" s="4">
        <v>80100</v>
      </c>
      <c r="I1530" s="4">
        <v>-6940</v>
      </c>
      <c r="J1530" s="5">
        <f t="shared" si="24"/>
        <v>73160</v>
      </c>
    </row>
    <row r="1531" spans="1:10" x14ac:dyDescent="0.25">
      <c r="A1531" s="6">
        <v>1542</v>
      </c>
      <c r="B1531" t="s">
        <v>2479</v>
      </c>
      <c r="C1531" t="s">
        <v>1226</v>
      </c>
      <c r="D1531" t="s">
        <v>9</v>
      </c>
      <c r="E1531" t="str">
        <f>VLOOKUP(D1531,'Tên SP'!B$2:C$1070,2,0)</f>
        <v>NƯỚC GIẶT LIX ĐẬM ĐẶC 3,5KG/T04 TÚI</v>
      </c>
      <c r="F1531" s="4">
        <v>91400</v>
      </c>
      <c r="G1531">
        <v>1</v>
      </c>
      <c r="H1531" s="4">
        <v>91400</v>
      </c>
      <c r="I1531" s="4">
        <v>-88000</v>
      </c>
      <c r="J1531" s="5">
        <f t="shared" si="24"/>
        <v>3400</v>
      </c>
    </row>
    <row r="1532" spans="1:10" x14ac:dyDescent="0.25">
      <c r="A1532" s="6">
        <v>1543</v>
      </c>
      <c r="B1532" t="s">
        <v>2480</v>
      </c>
      <c r="C1532" t="s">
        <v>1227</v>
      </c>
      <c r="D1532" t="s">
        <v>97</v>
      </c>
      <c r="E1532" t="str">
        <f>VLOOKUP(D1532,'Tên SP'!B$2:C$1070,2,0)</f>
        <v>NƯỚC GIẶT LIX ĐẬM ĐẶC 3,6KG/C04</v>
      </c>
      <c r="F1532" s="4">
        <v>104400</v>
      </c>
      <c r="G1532">
        <v>1</v>
      </c>
      <c r="H1532" s="4">
        <v>104400</v>
      </c>
      <c r="I1532" s="4">
        <v>-88000</v>
      </c>
      <c r="J1532" s="5">
        <f t="shared" si="24"/>
        <v>16400</v>
      </c>
    </row>
    <row r="1533" spans="1:10" x14ac:dyDescent="0.25">
      <c r="A1533" s="6">
        <v>1544</v>
      </c>
      <c r="B1533" t="s">
        <v>2481</v>
      </c>
      <c r="C1533" t="s">
        <v>1228</v>
      </c>
      <c r="D1533" t="s">
        <v>9</v>
      </c>
      <c r="E1533" t="str">
        <f>VLOOKUP(D1533,'Tên SP'!B$2:C$1070,2,0)</f>
        <v>NƯỚC GIẶT LIX ĐẬM ĐẶC 3,5KG/T04 TÚI</v>
      </c>
      <c r="F1533" s="4">
        <v>91400</v>
      </c>
      <c r="G1533">
        <v>1</v>
      </c>
      <c r="H1533" s="4">
        <v>91400</v>
      </c>
      <c r="I1533" s="4">
        <v>-88000</v>
      </c>
      <c r="J1533" s="5">
        <f t="shared" si="24"/>
        <v>3400</v>
      </c>
    </row>
    <row r="1534" spans="1:10" x14ac:dyDescent="0.25">
      <c r="A1534" s="6">
        <v>1545</v>
      </c>
      <c r="B1534" t="s">
        <v>2482</v>
      </c>
      <c r="C1534" t="s">
        <v>1229</v>
      </c>
      <c r="D1534" t="s">
        <v>9</v>
      </c>
      <c r="E1534" t="str">
        <f>VLOOKUP(D1534,'Tên SP'!B$2:C$1070,2,0)</f>
        <v>NƯỚC GIẶT LIX ĐẬM ĐẶC 3,5KG/T04 TÚI</v>
      </c>
      <c r="F1534" s="4">
        <v>91400</v>
      </c>
      <c r="G1534">
        <v>1</v>
      </c>
      <c r="H1534" s="4">
        <v>91400</v>
      </c>
      <c r="I1534" s="4">
        <v>-88000</v>
      </c>
      <c r="J1534" s="5">
        <f t="shared" si="24"/>
        <v>3400</v>
      </c>
    </row>
    <row r="1535" spans="1:10" x14ac:dyDescent="0.25">
      <c r="A1535" s="6">
        <v>1546</v>
      </c>
      <c r="B1535" t="s">
        <v>2483</v>
      </c>
      <c r="C1535" t="s">
        <v>1230</v>
      </c>
      <c r="D1535" t="s">
        <v>9</v>
      </c>
      <c r="E1535" t="str">
        <f>VLOOKUP(D1535,'Tên SP'!B$2:C$1070,2,0)</f>
        <v>NƯỚC GIẶT LIX ĐẬM ĐẶC 3,5KG/T04 TÚI</v>
      </c>
      <c r="F1535" s="4">
        <v>91400</v>
      </c>
      <c r="G1535">
        <v>1</v>
      </c>
      <c r="H1535" s="4">
        <v>91400</v>
      </c>
      <c r="I1535" s="4">
        <v>-88000</v>
      </c>
      <c r="J1535" s="5">
        <f t="shared" si="24"/>
        <v>3400</v>
      </c>
    </row>
    <row r="1536" spans="1:10" x14ac:dyDescent="0.25">
      <c r="A1536" s="6">
        <v>1547</v>
      </c>
      <c r="B1536" t="s">
        <v>2484</v>
      </c>
      <c r="C1536" t="s">
        <v>1231</v>
      </c>
      <c r="D1536" t="s">
        <v>9</v>
      </c>
      <c r="E1536" t="str">
        <f>VLOOKUP(D1536,'Tên SP'!B$2:C$1070,2,0)</f>
        <v>NƯỚC GIẶT LIX ĐẬM ĐẶC 3,5KG/T04 TÚI</v>
      </c>
      <c r="F1536" s="4">
        <v>91400</v>
      </c>
      <c r="G1536">
        <v>1</v>
      </c>
      <c r="H1536" s="4">
        <v>91400</v>
      </c>
      <c r="I1536" s="4">
        <v>-88000</v>
      </c>
      <c r="J1536" s="5">
        <f t="shared" si="24"/>
        <v>3400</v>
      </c>
    </row>
    <row r="1537" spans="1:10" x14ac:dyDescent="0.25">
      <c r="A1537" s="6">
        <v>1548</v>
      </c>
      <c r="B1537" t="s">
        <v>2485</v>
      </c>
      <c r="C1537" t="s">
        <v>1232</v>
      </c>
      <c r="D1537" t="s">
        <v>180</v>
      </c>
      <c r="E1537" t="str">
        <f>VLOOKUP(D1537,'Tên SP'!B$2:C$1070,2,0)</f>
        <v>NƯỚC RỬA TAY ON1 BAMBOO CHARCOAL 500ML/CH20</v>
      </c>
      <c r="F1537" s="4">
        <v>43500</v>
      </c>
      <c r="G1537">
        <v>1</v>
      </c>
      <c r="H1537" s="4">
        <v>43500</v>
      </c>
      <c r="I1537" s="4">
        <v>-8265</v>
      </c>
      <c r="J1537" s="5">
        <f t="shared" si="24"/>
        <v>35235</v>
      </c>
    </row>
    <row r="1538" spans="1:10" x14ac:dyDescent="0.25">
      <c r="A1538" s="6">
        <v>1549</v>
      </c>
      <c r="B1538" t="s">
        <v>2485</v>
      </c>
      <c r="C1538" t="s">
        <v>1232</v>
      </c>
      <c r="D1538" t="s">
        <v>180</v>
      </c>
      <c r="E1538" t="str">
        <f>VLOOKUP(D1538,'Tên SP'!B$2:C$1070,2,0)</f>
        <v>NƯỚC RỬA TAY ON1 BAMBOO CHARCOAL 500ML/CH20</v>
      </c>
      <c r="F1538" s="4">
        <v>43500</v>
      </c>
      <c r="G1538">
        <v>1</v>
      </c>
      <c r="H1538" s="4">
        <v>43500</v>
      </c>
      <c r="I1538" s="4">
        <v>-8265</v>
      </c>
      <c r="J1538" s="5">
        <f t="shared" si="24"/>
        <v>35235</v>
      </c>
    </row>
    <row r="1539" spans="1:10" x14ac:dyDescent="0.25">
      <c r="A1539" s="6">
        <v>1550</v>
      </c>
      <c r="B1539" t="s">
        <v>2486</v>
      </c>
      <c r="C1539" t="s">
        <v>1233</v>
      </c>
      <c r="D1539" t="s">
        <v>38</v>
      </c>
      <c r="E1539" t="str">
        <f>VLOOKUP(D1539,'Tên SP'!B$2:C$1070,2,0)</f>
        <v>BỘT GIẶT LIXE HƯƠNG NƯỚC HOA 5,5KG/03</v>
      </c>
      <c r="F1539" s="4">
        <v>126200</v>
      </c>
      <c r="G1539">
        <v>1</v>
      </c>
      <c r="H1539" s="4">
        <v>126200</v>
      </c>
      <c r="I1539" s="4">
        <v>-37860</v>
      </c>
      <c r="J1539" s="5">
        <f t="shared" si="24"/>
        <v>88340</v>
      </c>
    </row>
    <row r="1540" spans="1:10" x14ac:dyDescent="0.25">
      <c r="A1540" s="6">
        <v>1551</v>
      </c>
      <c r="B1540" t="s">
        <v>2487</v>
      </c>
      <c r="C1540" t="s">
        <v>1234</v>
      </c>
      <c r="D1540" t="s">
        <v>28</v>
      </c>
      <c r="E1540" t="str">
        <f>VLOOKUP(D1540,'Tên SP'!B$2:C$1070,2,0)</f>
        <v>NƯỚC XẢ VẢI LIXSOFT HƯƠNG HOA HỒNG 3,6L/C04</v>
      </c>
      <c r="F1540" s="4">
        <v>80100</v>
      </c>
      <c r="G1540">
        <v>1</v>
      </c>
      <c r="H1540" s="4">
        <v>80100</v>
      </c>
      <c r="I1540" s="4">
        <v>-7350</v>
      </c>
      <c r="J1540" s="5">
        <f t="shared" si="24"/>
        <v>72750</v>
      </c>
    </row>
    <row r="1541" spans="1:10" x14ac:dyDescent="0.25">
      <c r="A1541" s="6">
        <v>1552</v>
      </c>
      <c r="B1541" t="s">
        <v>2487</v>
      </c>
      <c r="C1541" t="s">
        <v>1234</v>
      </c>
      <c r="D1541" t="s">
        <v>79</v>
      </c>
      <c r="E1541" t="str">
        <f>VLOOKUP(D1541,'Tên SP'!B$2:C$1070,2,0)</f>
        <v>NƯỚC RỬA CHÉN SIÊU SẠCH CHANH 750G/CH12</v>
      </c>
      <c r="F1541" s="4">
        <v>16600</v>
      </c>
      <c r="G1541">
        <v>1</v>
      </c>
      <c r="H1541" s="4">
        <v>16600</v>
      </c>
      <c r="I1541" s="4">
        <v>-1524</v>
      </c>
      <c r="J1541" s="5">
        <f t="shared" si="24"/>
        <v>15076</v>
      </c>
    </row>
    <row r="1542" spans="1:10" x14ac:dyDescent="0.25">
      <c r="A1542" s="6">
        <v>1553</v>
      </c>
      <c r="B1542" t="s">
        <v>2487</v>
      </c>
      <c r="C1542" t="s">
        <v>1234</v>
      </c>
      <c r="D1542" t="s">
        <v>79</v>
      </c>
      <c r="E1542" t="str">
        <f>VLOOKUP(D1542,'Tên SP'!B$2:C$1070,2,0)</f>
        <v>NƯỚC RỬA CHÉN SIÊU SẠCH CHANH 750G/CH12</v>
      </c>
      <c r="F1542" s="4">
        <v>16600</v>
      </c>
      <c r="G1542">
        <v>1</v>
      </c>
      <c r="H1542" s="4">
        <v>16600</v>
      </c>
      <c r="I1542" s="4">
        <v>-1523</v>
      </c>
      <c r="J1542" s="5">
        <f t="shared" si="24"/>
        <v>15077</v>
      </c>
    </row>
    <row r="1543" spans="1:10" x14ac:dyDescent="0.25">
      <c r="A1543" s="6">
        <v>1554</v>
      </c>
      <c r="B1543" t="s">
        <v>2487</v>
      </c>
      <c r="C1543" t="s">
        <v>1234</v>
      </c>
      <c r="D1543" t="s">
        <v>102</v>
      </c>
      <c r="E1543" t="str">
        <f>VLOOKUP(D1543,'Tên SP'!B$2:C$1070,2,0)</f>
        <v>NƯỚC GIẶT LIX HƯƠNG NƯỚC HOA 3,5KG/T04 TÚI</v>
      </c>
      <c r="F1543" s="4">
        <v>91400</v>
      </c>
      <c r="G1543">
        <v>1</v>
      </c>
      <c r="H1543" s="4">
        <v>91400</v>
      </c>
      <c r="I1543" s="4">
        <v>-8387</v>
      </c>
      <c r="J1543" s="5">
        <f t="shared" si="24"/>
        <v>83013</v>
      </c>
    </row>
    <row r="1544" spans="1:10" x14ac:dyDescent="0.25">
      <c r="A1544" s="6">
        <v>1555</v>
      </c>
      <c r="B1544" t="s">
        <v>2487</v>
      </c>
      <c r="C1544" t="s">
        <v>1234</v>
      </c>
      <c r="D1544" t="s">
        <v>102</v>
      </c>
      <c r="E1544" t="str">
        <f>VLOOKUP(D1544,'Tên SP'!B$2:C$1070,2,0)</f>
        <v>NƯỚC GIẶT LIX HƯƠNG NƯỚC HOA 3,5KG/T04 TÚI</v>
      </c>
      <c r="F1544" s="4">
        <v>91400</v>
      </c>
      <c r="G1544">
        <v>1</v>
      </c>
      <c r="H1544" s="4">
        <v>91400</v>
      </c>
      <c r="I1544" s="4">
        <v>-8387</v>
      </c>
      <c r="J1544" s="5">
        <f t="shared" si="24"/>
        <v>83013</v>
      </c>
    </row>
    <row r="1545" spans="1:10" x14ac:dyDescent="0.25">
      <c r="A1545" s="6">
        <v>1556</v>
      </c>
      <c r="B1545" t="s">
        <v>2487</v>
      </c>
      <c r="C1545" t="s">
        <v>1234</v>
      </c>
      <c r="D1545" t="s">
        <v>102</v>
      </c>
      <c r="E1545" t="str">
        <f>VLOOKUP(D1545,'Tên SP'!B$2:C$1070,2,0)</f>
        <v>NƯỚC GIẶT LIX HƯƠNG NƯỚC HOA 3,5KG/T04 TÚI</v>
      </c>
      <c r="F1545" s="4">
        <v>91400</v>
      </c>
      <c r="G1545">
        <v>1</v>
      </c>
      <c r="H1545" s="4">
        <v>91400</v>
      </c>
      <c r="I1545" s="4">
        <v>-8387</v>
      </c>
      <c r="J1545" s="5">
        <f t="shared" si="24"/>
        <v>83013</v>
      </c>
    </row>
    <row r="1546" spans="1:10" x14ac:dyDescent="0.25">
      <c r="A1546" s="6">
        <v>1557</v>
      </c>
      <c r="B1546" t="s">
        <v>2487</v>
      </c>
      <c r="C1546" t="s">
        <v>1234</v>
      </c>
      <c r="D1546" t="s">
        <v>102</v>
      </c>
      <c r="E1546" t="str">
        <f>VLOOKUP(D1546,'Tên SP'!B$2:C$1070,2,0)</f>
        <v>NƯỚC GIẶT LIX HƯƠNG NƯỚC HOA 3,5KG/T04 TÚI</v>
      </c>
      <c r="F1546" s="4">
        <v>91400</v>
      </c>
      <c r="G1546">
        <v>1</v>
      </c>
      <c r="H1546" s="4">
        <v>91400</v>
      </c>
      <c r="I1546" s="4">
        <v>-8387</v>
      </c>
      <c r="J1546" s="5">
        <f t="shared" si="24"/>
        <v>83013</v>
      </c>
    </row>
    <row r="1547" spans="1:10" x14ac:dyDescent="0.25">
      <c r="A1547" s="6">
        <v>1558</v>
      </c>
      <c r="B1547" t="s">
        <v>2488</v>
      </c>
      <c r="C1547" t="s">
        <v>1235</v>
      </c>
      <c r="D1547" t="s">
        <v>9</v>
      </c>
      <c r="E1547" t="str">
        <f>VLOOKUP(D1547,'Tên SP'!B$2:C$1070,2,0)</f>
        <v>NƯỚC GIẶT LIX ĐẬM ĐẶC 3,5KG/T04 TÚI</v>
      </c>
      <c r="F1547" s="4">
        <v>91400</v>
      </c>
      <c r="G1547">
        <v>1</v>
      </c>
      <c r="H1547" s="4">
        <v>91400</v>
      </c>
      <c r="I1547" s="4">
        <v>-11156</v>
      </c>
      <c r="J1547" s="5">
        <f t="shared" si="24"/>
        <v>80244</v>
      </c>
    </row>
    <row r="1548" spans="1:10" x14ac:dyDescent="0.25">
      <c r="A1548" s="6">
        <v>1559</v>
      </c>
      <c r="B1548" t="s">
        <v>2488</v>
      </c>
      <c r="C1548" t="s">
        <v>1235</v>
      </c>
      <c r="D1548" t="s">
        <v>102</v>
      </c>
      <c r="E1548" t="str">
        <f>VLOOKUP(D1548,'Tên SP'!B$2:C$1070,2,0)</f>
        <v>NƯỚC GIẶT LIX HƯƠNG NƯỚC HOA 3,5KG/T04 TÚI</v>
      </c>
      <c r="F1548" s="4">
        <v>91400</v>
      </c>
      <c r="G1548">
        <v>1</v>
      </c>
      <c r="H1548" s="4">
        <v>91400</v>
      </c>
      <c r="I1548" s="4">
        <v>-11156</v>
      </c>
      <c r="J1548" s="5">
        <f t="shared" si="24"/>
        <v>80244</v>
      </c>
    </row>
    <row r="1549" spans="1:10" x14ac:dyDescent="0.25">
      <c r="A1549" s="6">
        <v>1560</v>
      </c>
      <c r="B1549" t="s">
        <v>2489</v>
      </c>
      <c r="C1549" t="s">
        <v>1236</v>
      </c>
      <c r="D1549" t="s">
        <v>38</v>
      </c>
      <c r="E1549" t="str">
        <f>VLOOKUP(D1549,'Tên SP'!B$2:C$1070,2,0)</f>
        <v>BỘT GIẶT LIXE HƯƠNG NƯỚC HOA 5,5KG/03</v>
      </c>
      <c r="F1549" s="4">
        <v>126200</v>
      </c>
      <c r="G1549">
        <v>1</v>
      </c>
      <c r="H1549" s="4">
        <v>126200</v>
      </c>
      <c r="I1549" s="4">
        <v>-25000</v>
      </c>
      <c r="J1549" s="5">
        <f t="shared" si="24"/>
        <v>101200</v>
      </c>
    </row>
    <row r="1550" spans="1:10" x14ac:dyDescent="0.25">
      <c r="A1550" s="6">
        <v>1561</v>
      </c>
      <c r="B1550" t="s">
        <v>2489</v>
      </c>
      <c r="C1550" t="s">
        <v>1236</v>
      </c>
      <c r="D1550" t="s">
        <v>38</v>
      </c>
      <c r="E1550" t="str">
        <f>VLOOKUP(D1550,'Tên SP'!B$2:C$1070,2,0)</f>
        <v>BỘT GIẶT LIXE HƯƠNG NƯỚC HOA 5,5KG/03</v>
      </c>
      <c r="F1550" s="4">
        <v>126200</v>
      </c>
      <c r="G1550">
        <v>1</v>
      </c>
      <c r="H1550" s="4">
        <v>126200</v>
      </c>
      <c r="I1550" s="4">
        <v>-25000</v>
      </c>
      <c r="J1550" s="5">
        <f t="shared" si="24"/>
        <v>101200</v>
      </c>
    </row>
    <row r="1551" spans="1:10" x14ac:dyDescent="0.25">
      <c r="A1551" s="6">
        <v>1562</v>
      </c>
      <c r="B1551" t="s">
        <v>2489</v>
      </c>
      <c r="C1551" t="s">
        <v>1236</v>
      </c>
      <c r="D1551" t="s">
        <v>184</v>
      </c>
      <c r="E1551" t="str">
        <f>VLOOKUP(D1551,'Tên SP'!B$2:C$1070,2,0)</f>
        <v>GEL DIỆT KHUẨN TAY ON1 60ML/CH80</v>
      </c>
      <c r="F1551" s="4">
        <v>21800</v>
      </c>
      <c r="G1551">
        <v>1</v>
      </c>
      <c r="H1551" s="4">
        <v>21800</v>
      </c>
      <c r="I1551" s="4">
        <v>-21800</v>
      </c>
      <c r="J1551" s="5">
        <f t="shared" si="24"/>
        <v>0</v>
      </c>
    </row>
    <row r="1552" spans="1:10" x14ac:dyDescent="0.25">
      <c r="A1552" s="6">
        <v>1563</v>
      </c>
      <c r="B1552" t="s">
        <v>2490</v>
      </c>
      <c r="C1552" t="s">
        <v>1237</v>
      </c>
      <c r="D1552" t="s">
        <v>102</v>
      </c>
      <c r="E1552" t="str">
        <f>VLOOKUP(D1552,'Tên SP'!B$2:C$1070,2,0)</f>
        <v>NƯỚC GIẶT LIX HƯƠNG NƯỚC HOA 3,5KG/T04 TÚI</v>
      </c>
      <c r="F1552" s="4">
        <v>91400</v>
      </c>
      <c r="G1552">
        <v>1</v>
      </c>
      <c r="H1552" s="4">
        <v>91400</v>
      </c>
      <c r="I1552" s="4">
        <v>0</v>
      </c>
      <c r="J1552" s="5">
        <f t="shared" si="24"/>
        <v>91400</v>
      </c>
    </row>
    <row r="1553" spans="1:10" x14ac:dyDescent="0.25">
      <c r="A1553" s="6">
        <v>1564</v>
      </c>
      <c r="B1553" t="s">
        <v>2491</v>
      </c>
      <c r="C1553" t="s">
        <v>1238</v>
      </c>
      <c r="D1553" t="s">
        <v>102</v>
      </c>
      <c r="E1553" t="str">
        <f>VLOOKUP(D1553,'Tên SP'!B$2:C$1070,2,0)</f>
        <v>NƯỚC GIẶT LIX HƯƠNG NƯỚC HOA 3,5KG/T04 TÚI</v>
      </c>
      <c r="F1553" s="4">
        <v>91400</v>
      </c>
      <c r="G1553">
        <v>1</v>
      </c>
      <c r="H1553" s="4">
        <v>91400</v>
      </c>
      <c r="I1553" s="4">
        <v>0</v>
      </c>
      <c r="J1553" s="5">
        <f t="shared" si="24"/>
        <v>91400</v>
      </c>
    </row>
    <row r="1554" spans="1:10" x14ac:dyDescent="0.25">
      <c r="A1554" s="6">
        <v>1565</v>
      </c>
      <c r="B1554" t="s">
        <v>2492</v>
      </c>
      <c r="C1554" t="s">
        <v>1239</v>
      </c>
      <c r="D1554" t="s">
        <v>102</v>
      </c>
      <c r="E1554" t="str">
        <f>VLOOKUP(D1554,'Tên SP'!B$2:C$1070,2,0)</f>
        <v>NƯỚC GIẶT LIX HƯƠNG NƯỚC HOA 3,5KG/T04 TÚI</v>
      </c>
      <c r="F1554" s="4">
        <v>91400</v>
      </c>
      <c r="G1554">
        <v>1</v>
      </c>
      <c r="H1554" s="4">
        <v>91400</v>
      </c>
      <c r="I1554" s="4">
        <v>-13710</v>
      </c>
      <c r="J1554" s="5">
        <f t="shared" si="24"/>
        <v>77690</v>
      </c>
    </row>
    <row r="1555" spans="1:10" x14ac:dyDescent="0.25">
      <c r="A1555" s="6">
        <v>1566</v>
      </c>
      <c r="B1555" t="s">
        <v>2493</v>
      </c>
      <c r="C1555" t="s">
        <v>1240</v>
      </c>
      <c r="D1555" t="s">
        <v>28</v>
      </c>
      <c r="E1555" t="str">
        <f>VLOOKUP(D1555,'Tên SP'!B$2:C$1070,2,0)</f>
        <v>NƯỚC XẢ VẢI LIXSOFT HƯƠNG HOA HỒNG 3,6L/C04</v>
      </c>
      <c r="F1555" s="4">
        <v>80100</v>
      </c>
      <c r="G1555">
        <v>1</v>
      </c>
      <c r="H1555" s="4">
        <v>80100</v>
      </c>
      <c r="I1555" s="4">
        <v>0</v>
      </c>
      <c r="J1555" s="5">
        <f t="shared" si="24"/>
        <v>80100</v>
      </c>
    </row>
    <row r="1556" spans="1:10" x14ac:dyDescent="0.25">
      <c r="A1556" s="6">
        <v>1567</v>
      </c>
      <c r="B1556" t="s">
        <v>2494</v>
      </c>
      <c r="C1556" t="s">
        <v>1241</v>
      </c>
      <c r="D1556" t="s">
        <v>38</v>
      </c>
      <c r="E1556" t="str">
        <f>VLOOKUP(D1556,'Tên SP'!B$2:C$1070,2,0)</f>
        <v>BỘT GIẶT LIXE HƯƠNG NƯỚC HOA 5,5KG/03</v>
      </c>
      <c r="F1556" s="4">
        <v>141000</v>
      </c>
      <c r="G1556">
        <v>1</v>
      </c>
      <c r="H1556" s="4">
        <v>141000</v>
      </c>
      <c r="I1556" s="4">
        <v>-42300</v>
      </c>
      <c r="J1556" s="5">
        <f t="shared" si="24"/>
        <v>98700</v>
      </c>
    </row>
    <row r="1557" spans="1:10" x14ac:dyDescent="0.25">
      <c r="A1557" s="6">
        <v>1568</v>
      </c>
      <c r="B1557" t="s">
        <v>2495</v>
      </c>
      <c r="C1557" t="s">
        <v>1242</v>
      </c>
      <c r="D1557" t="s">
        <v>38</v>
      </c>
      <c r="E1557" t="str">
        <f>VLOOKUP(D1557,'Tên SP'!B$2:C$1070,2,0)</f>
        <v>BỘT GIẶT LIXE HƯƠNG NƯỚC HOA 5,5KG/03</v>
      </c>
      <c r="F1557" s="4">
        <v>141000</v>
      </c>
      <c r="G1557">
        <v>1</v>
      </c>
      <c r="H1557" s="4">
        <v>141000</v>
      </c>
      <c r="I1557" s="4">
        <v>-42300</v>
      </c>
      <c r="J1557" s="5">
        <f t="shared" si="24"/>
        <v>98700</v>
      </c>
    </row>
    <row r="1558" spans="1:10" x14ac:dyDescent="0.25">
      <c r="A1558" s="6">
        <v>1569</v>
      </c>
      <c r="B1558" t="s">
        <v>2496</v>
      </c>
      <c r="C1558" t="s">
        <v>1243</v>
      </c>
      <c r="D1558" t="s">
        <v>23</v>
      </c>
      <c r="E1558" t="str">
        <f>VLOOKUP(D1558,'Tên SP'!B$2:C$1070,2,0)</f>
        <v>NƯỚC XẢ VẢI LIXSOFT 3,6L/C04</v>
      </c>
      <c r="F1558" s="4">
        <v>89000</v>
      </c>
      <c r="G1558">
        <v>1</v>
      </c>
      <c r="H1558" s="4">
        <v>89000</v>
      </c>
      <c r="I1558" s="4">
        <v>0</v>
      </c>
      <c r="J1558" s="5">
        <f t="shared" si="24"/>
        <v>89000</v>
      </c>
    </row>
    <row r="1559" spans="1:10" x14ac:dyDescent="0.25">
      <c r="A1559" s="6">
        <v>1570</v>
      </c>
      <c r="B1559" t="s">
        <v>2497</v>
      </c>
      <c r="C1559" t="s">
        <v>1244</v>
      </c>
      <c r="D1559" t="s">
        <v>9</v>
      </c>
      <c r="E1559" t="str">
        <f>VLOOKUP(D1559,'Tên SP'!B$2:C$1070,2,0)</f>
        <v>NƯỚC GIẶT LIX ĐẬM ĐẶC 3,5KG/T04 TÚI</v>
      </c>
      <c r="F1559" s="4">
        <v>101000</v>
      </c>
      <c r="G1559">
        <v>1</v>
      </c>
      <c r="H1559" s="4">
        <v>101000</v>
      </c>
      <c r="I1559" s="4">
        <v>-8050</v>
      </c>
      <c r="J1559" s="5">
        <f t="shared" si="24"/>
        <v>92950</v>
      </c>
    </row>
    <row r="1560" spans="1:10" x14ac:dyDescent="0.25">
      <c r="A1560" s="6">
        <v>1571</v>
      </c>
      <c r="B1560" t="s">
        <v>2497</v>
      </c>
      <c r="C1560" t="s">
        <v>1244</v>
      </c>
      <c r="D1560" t="s">
        <v>9</v>
      </c>
      <c r="E1560" t="str">
        <f>VLOOKUP(D1560,'Tên SP'!B$2:C$1070,2,0)</f>
        <v>NƯỚC GIẶT LIX ĐẬM ĐẶC 3,5KG/T04 TÚI</v>
      </c>
      <c r="F1560" s="4">
        <v>101000</v>
      </c>
      <c r="G1560">
        <v>1</v>
      </c>
      <c r="H1560" s="4">
        <v>101000</v>
      </c>
      <c r="I1560" s="4">
        <v>-8050</v>
      </c>
      <c r="J1560" s="5">
        <f t="shared" si="24"/>
        <v>92950</v>
      </c>
    </row>
    <row r="1561" spans="1:10" x14ac:dyDescent="0.25">
      <c r="A1561" s="6">
        <v>1572</v>
      </c>
      <c r="B1561" t="s">
        <v>2497</v>
      </c>
      <c r="C1561" t="s">
        <v>1244</v>
      </c>
      <c r="D1561" t="s">
        <v>9</v>
      </c>
      <c r="E1561" t="str">
        <f>VLOOKUP(D1561,'Tên SP'!B$2:C$1070,2,0)</f>
        <v>NƯỚC GIẶT LIX ĐẬM ĐẶC 3,5KG/T04 TÚI</v>
      </c>
      <c r="F1561" s="4">
        <v>101000</v>
      </c>
      <c r="G1561">
        <v>1</v>
      </c>
      <c r="H1561" s="4">
        <v>101000</v>
      </c>
      <c r="I1561" s="4">
        <v>-8050</v>
      </c>
      <c r="J1561" s="5">
        <f t="shared" si="24"/>
        <v>92950</v>
      </c>
    </row>
    <row r="1562" spans="1:10" x14ac:dyDescent="0.25">
      <c r="A1562" s="6">
        <v>1573</v>
      </c>
      <c r="B1562" t="s">
        <v>2497</v>
      </c>
      <c r="C1562" t="s">
        <v>1244</v>
      </c>
      <c r="D1562" t="s">
        <v>9</v>
      </c>
      <c r="E1562" t="str">
        <f>VLOOKUP(D1562,'Tên SP'!B$2:C$1070,2,0)</f>
        <v>NƯỚC GIẶT LIX ĐẬM ĐẶC 3,5KG/T04 TÚI</v>
      </c>
      <c r="F1562" s="4">
        <v>101000</v>
      </c>
      <c r="G1562">
        <v>1</v>
      </c>
      <c r="H1562" s="4">
        <v>101000</v>
      </c>
      <c r="I1562" s="4">
        <v>-8050</v>
      </c>
      <c r="J1562" s="5">
        <f t="shared" si="24"/>
        <v>92950</v>
      </c>
    </row>
    <row r="1563" spans="1:10" x14ac:dyDescent="0.25">
      <c r="A1563" s="6">
        <v>1574</v>
      </c>
      <c r="B1563" t="s">
        <v>2497</v>
      </c>
      <c r="C1563" t="s">
        <v>1244</v>
      </c>
      <c r="D1563" t="s">
        <v>9</v>
      </c>
      <c r="E1563" t="str">
        <f>VLOOKUP(D1563,'Tên SP'!B$2:C$1070,2,0)</f>
        <v>NƯỚC GIẶT LIX ĐẬM ĐẶC 3,5KG/T04 TÚI</v>
      </c>
      <c r="F1563" s="4">
        <v>101000</v>
      </c>
      <c r="G1563">
        <v>1</v>
      </c>
      <c r="H1563" s="4">
        <v>101000</v>
      </c>
      <c r="I1563" s="4">
        <v>-8050</v>
      </c>
      <c r="J1563" s="5">
        <f t="shared" si="24"/>
        <v>92950</v>
      </c>
    </row>
    <row r="1564" spans="1:10" x14ac:dyDescent="0.25">
      <c r="A1564" s="6">
        <v>1575</v>
      </c>
      <c r="B1564" t="s">
        <v>2498</v>
      </c>
      <c r="C1564" t="s">
        <v>1245</v>
      </c>
      <c r="D1564" t="s">
        <v>28</v>
      </c>
      <c r="E1564" t="str">
        <f>VLOOKUP(D1564,'Tên SP'!B$2:C$1070,2,0)</f>
        <v>NƯỚC XẢ VẢI LIXSOFT HƯƠNG HOA HỒNG 3,6L/C04</v>
      </c>
      <c r="F1564" s="4">
        <v>89000</v>
      </c>
      <c r="G1564">
        <v>1</v>
      </c>
      <c r="H1564" s="4">
        <v>89000</v>
      </c>
      <c r="I1564" s="4">
        <v>-7307</v>
      </c>
      <c r="J1564" s="5">
        <f t="shared" si="24"/>
        <v>81693</v>
      </c>
    </row>
    <row r="1565" spans="1:10" x14ac:dyDescent="0.25">
      <c r="A1565" s="6">
        <v>1576</v>
      </c>
      <c r="B1565" t="s">
        <v>2498</v>
      </c>
      <c r="C1565" t="s">
        <v>1245</v>
      </c>
      <c r="D1565" t="s">
        <v>9</v>
      </c>
      <c r="E1565" t="str">
        <f>VLOOKUP(D1565,'Tên SP'!B$2:C$1070,2,0)</f>
        <v>NƯỚC GIẶT LIX ĐẬM ĐẶC 3,5KG/T04 TÚI</v>
      </c>
      <c r="F1565" s="4">
        <v>101000</v>
      </c>
      <c r="G1565">
        <v>1</v>
      </c>
      <c r="H1565" s="4">
        <v>101000</v>
      </c>
      <c r="I1565" s="4">
        <v>-8293</v>
      </c>
      <c r="J1565" s="5">
        <f t="shared" si="24"/>
        <v>92707</v>
      </c>
    </row>
    <row r="1566" spans="1:10" x14ac:dyDescent="0.25">
      <c r="A1566" s="6">
        <v>1577</v>
      </c>
      <c r="B1566" t="s">
        <v>2499</v>
      </c>
      <c r="C1566" t="s">
        <v>1246</v>
      </c>
      <c r="D1566" t="s">
        <v>9</v>
      </c>
      <c r="E1566" t="str">
        <f>VLOOKUP(D1566,'Tên SP'!B$2:C$1070,2,0)</f>
        <v>NƯỚC GIẶT LIX ĐẬM ĐẶC 3,5KG/T04 TÚI</v>
      </c>
      <c r="F1566" s="4">
        <v>101000</v>
      </c>
      <c r="G1566">
        <v>1</v>
      </c>
      <c r="H1566" s="4">
        <v>101000</v>
      </c>
      <c r="I1566" s="4">
        <v>-11540</v>
      </c>
      <c r="J1566" s="5">
        <f t="shared" si="24"/>
        <v>89460</v>
      </c>
    </row>
    <row r="1567" spans="1:10" x14ac:dyDescent="0.25">
      <c r="A1567" s="6">
        <v>1578</v>
      </c>
      <c r="B1567" t="s">
        <v>2499</v>
      </c>
      <c r="C1567" t="s">
        <v>1246</v>
      </c>
      <c r="D1567" t="s">
        <v>9</v>
      </c>
      <c r="E1567" t="str">
        <f>VLOOKUP(D1567,'Tên SP'!B$2:C$1070,2,0)</f>
        <v>NƯỚC GIẶT LIX ĐẬM ĐẶC 3,5KG/T04 TÚI</v>
      </c>
      <c r="F1567" s="4">
        <v>101000</v>
      </c>
      <c r="G1567">
        <v>1</v>
      </c>
      <c r="H1567" s="4">
        <v>101000</v>
      </c>
      <c r="I1567" s="4">
        <v>-11540</v>
      </c>
      <c r="J1567" s="5">
        <f t="shared" si="24"/>
        <v>89460</v>
      </c>
    </row>
    <row r="1568" spans="1:10" x14ac:dyDescent="0.25">
      <c r="A1568" s="6">
        <v>1579</v>
      </c>
      <c r="B1568" t="s">
        <v>2500</v>
      </c>
      <c r="C1568" t="s">
        <v>1247</v>
      </c>
      <c r="D1568" t="s">
        <v>102</v>
      </c>
      <c r="E1568" t="str">
        <f>VLOOKUP(D1568,'Tên SP'!B$2:C$1070,2,0)</f>
        <v>NƯỚC GIẶT LIX HƯƠNG NƯỚC HOA 3,5KG/T04 TÚI</v>
      </c>
      <c r="F1568" s="4">
        <v>102000</v>
      </c>
      <c r="G1568">
        <v>1</v>
      </c>
      <c r="H1568" s="4">
        <v>102000</v>
      </c>
      <c r="I1568" s="4">
        <v>-15000</v>
      </c>
      <c r="J1568" s="5">
        <f t="shared" si="24"/>
        <v>87000</v>
      </c>
    </row>
    <row r="1569" spans="1:10" x14ac:dyDescent="0.25">
      <c r="A1569" s="6">
        <v>1580</v>
      </c>
      <c r="B1569" t="s">
        <v>2501</v>
      </c>
      <c r="C1569" t="s">
        <v>1248</v>
      </c>
      <c r="D1569" t="s">
        <v>83</v>
      </c>
      <c r="E1569" t="str">
        <f>VLOOKUP(D1569,'Tên SP'!B$2:C$1070,2,0)</f>
        <v>NƯỚC RỬA CHÉN SIÊU SẠCH TRÀ 1,5KG/T08- TÚI</v>
      </c>
      <c r="F1569" s="4">
        <v>38000</v>
      </c>
      <c r="G1569">
        <v>1</v>
      </c>
      <c r="H1569" s="4">
        <v>38000</v>
      </c>
      <c r="I1569" s="4">
        <v>-5700</v>
      </c>
      <c r="J1569" s="5">
        <f t="shared" si="24"/>
        <v>32300</v>
      </c>
    </row>
    <row r="1570" spans="1:10" x14ac:dyDescent="0.25">
      <c r="A1570" s="6">
        <v>1581</v>
      </c>
      <c r="B1570" t="s">
        <v>2502</v>
      </c>
      <c r="C1570" t="s">
        <v>1249</v>
      </c>
      <c r="D1570" t="s">
        <v>102</v>
      </c>
      <c r="E1570" t="str">
        <f>VLOOKUP(D1570,'Tên SP'!B$2:C$1070,2,0)</f>
        <v>NƯỚC GIẶT LIX HƯƠNG NƯỚC HOA 3,5KG/T04 TÚI</v>
      </c>
      <c r="F1570" s="4">
        <v>102000</v>
      </c>
      <c r="G1570">
        <v>1</v>
      </c>
      <c r="H1570" s="4">
        <v>102000</v>
      </c>
      <c r="I1570" s="4">
        <v>-11580</v>
      </c>
      <c r="J1570" s="5">
        <f t="shared" si="24"/>
        <v>90420</v>
      </c>
    </row>
    <row r="1571" spans="1:10" x14ac:dyDescent="0.25">
      <c r="A1571" s="6">
        <v>1582</v>
      </c>
      <c r="B1571" t="s">
        <v>2502</v>
      </c>
      <c r="C1571" t="s">
        <v>1249</v>
      </c>
      <c r="D1571" t="s">
        <v>102</v>
      </c>
      <c r="E1571" t="str">
        <f>VLOOKUP(D1571,'Tên SP'!B$2:C$1070,2,0)</f>
        <v>NƯỚC GIẶT LIX HƯƠNG NƯỚC HOA 3,5KG/T04 TÚI</v>
      </c>
      <c r="F1571" s="4">
        <v>102000</v>
      </c>
      <c r="G1571">
        <v>1</v>
      </c>
      <c r="H1571" s="4">
        <v>102000</v>
      </c>
      <c r="I1571" s="4">
        <v>-11580</v>
      </c>
      <c r="J1571" s="5">
        <f t="shared" si="24"/>
        <v>90420</v>
      </c>
    </row>
    <row r="1572" spans="1:10" x14ac:dyDescent="0.25">
      <c r="A1572" s="6">
        <v>1583</v>
      </c>
      <c r="B1572" t="s">
        <v>2503</v>
      </c>
      <c r="C1572" t="s">
        <v>1250</v>
      </c>
      <c r="D1572" t="s">
        <v>102</v>
      </c>
      <c r="E1572" t="str">
        <f>VLOOKUP(D1572,'Tên SP'!B$2:C$1070,2,0)</f>
        <v>NƯỚC GIẶT LIX HƯƠNG NƯỚC HOA 3,5KG/T04 TÚI</v>
      </c>
      <c r="F1572" s="4">
        <v>102000</v>
      </c>
      <c r="G1572">
        <v>1</v>
      </c>
      <c r="H1572" s="4">
        <v>102000</v>
      </c>
      <c r="I1572" s="4">
        <v>0</v>
      </c>
      <c r="J1572" s="5">
        <f t="shared" si="24"/>
        <v>102000</v>
      </c>
    </row>
    <row r="1573" spans="1:10" x14ac:dyDescent="0.25">
      <c r="A1573" s="6">
        <v>1584</v>
      </c>
      <c r="B1573" t="s">
        <v>2504</v>
      </c>
      <c r="C1573" t="s">
        <v>1251</v>
      </c>
      <c r="D1573" t="s">
        <v>104</v>
      </c>
      <c r="E1573" t="str">
        <f>VLOOKUP(D1573,'Tên SP'!B$2:C$1070,2,0)</f>
        <v>NƯỚC GIẶT LIX ĐẬM ĐẶC 2KG/C06</v>
      </c>
      <c r="F1573" s="4">
        <v>66000</v>
      </c>
      <c r="G1573">
        <v>1</v>
      </c>
      <c r="H1573" s="4">
        <v>66000</v>
      </c>
      <c r="I1573" s="4">
        <v>0</v>
      </c>
      <c r="J1573" s="5">
        <f t="shared" si="24"/>
        <v>66000</v>
      </c>
    </row>
    <row r="1574" spans="1:10" x14ac:dyDescent="0.25">
      <c r="A1574" s="6">
        <v>1585</v>
      </c>
      <c r="B1574" t="s">
        <v>2505</v>
      </c>
      <c r="C1574" t="s">
        <v>1252</v>
      </c>
      <c r="D1574" t="s">
        <v>71</v>
      </c>
      <c r="E1574" t="str">
        <f>VLOOKUP(D1574,'Tên SP'!B$2:C$1070,2,0)</f>
        <v>NƯỚC RỬA CHÉN SIÊU SẠCH CHANH 3,5KG/T04- TÚI</v>
      </c>
      <c r="F1574" s="4">
        <v>73000</v>
      </c>
      <c r="G1574">
        <v>1</v>
      </c>
      <c r="H1574" s="4">
        <v>73000</v>
      </c>
      <c r="I1574" s="4">
        <v>0</v>
      </c>
      <c r="J1574" s="5">
        <f t="shared" si="24"/>
        <v>73000</v>
      </c>
    </row>
    <row r="1575" spans="1:10" x14ac:dyDescent="0.25">
      <c r="A1575" s="6">
        <v>1586</v>
      </c>
      <c r="B1575" t="s">
        <v>2506</v>
      </c>
      <c r="C1575" t="s">
        <v>1253</v>
      </c>
      <c r="D1575" t="s">
        <v>9</v>
      </c>
      <c r="E1575" t="str">
        <f>VLOOKUP(D1575,'Tên SP'!B$2:C$1070,2,0)</f>
        <v>NƯỚC GIẶT LIX ĐẬM ĐẶC 3,5KG/T04 TÚI</v>
      </c>
      <c r="F1575" s="4">
        <v>101000</v>
      </c>
      <c r="G1575">
        <v>1</v>
      </c>
      <c r="H1575" s="4">
        <v>101000</v>
      </c>
      <c r="I1575" s="4">
        <v>-15000</v>
      </c>
      <c r="J1575" s="5">
        <f t="shared" si="24"/>
        <v>86000</v>
      </c>
    </row>
    <row r="1576" spans="1:10" x14ac:dyDescent="0.25">
      <c r="A1576" s="6">
        <v>1587</v>
      </c>
      <c r="B1576" t="s">
        <v>2506</v>
      </c>
      <c r="C1576" t="s">
        <v>1254</v>
      </c>
      <c r="D1576" t="s">
        <v>9</v>
      </c>
      <c r="E1576" t="str">
        <f>VLOOKUP(D1576,'Tên SP'!B$2:C$1070,2,0)</f>
        <v>NƯỚC GIẶT LIX ĐẬM ĐẶC 3,5KG/T04 TÚI</v>
      </c>
      <c r="F1576" s="4">
        <v>101000</v>
      </c>
      <c r="G1576">
        <v>1</v>
      </c>
      <c r="H1576" s="4">
        <v>101000</v>
      </c>
      <c r="I1576" s="4">
        <v>-11717</v>
      </c>
      <c r="J1576" s="5">
        <f t="shared" si="24"/>
        <v>89283</v>
      </c>
    </row>
    <row r="1577" spans="1:10" x14ac:dyDescent="0.25">
      <c r="A1577" s="6">
        <v>1588</v>
      </c>
      <c r="B1577" t="s">
        <v>2506</v>
      </c>
      <c r="C1577" t="s">
        <v>1254</v>
      </c>
      <c r="D1577" t="s">
        <v>9</v>
      </c>
      <c r="E1577" t="str">
        <f>VLOOKUP(D1577,'Tên SP'!B$2:C$1070,2,0)</f>
        <v>NƯỚC GIẶT LIX ĐẬM ĐẶC 3,5KG/T04 TÚI</v>
      </c>
      <c r="F1577" s="4">
        <v>101000</v>
      </c>
      <c r="G1577">
        <v>1</v>
      </c>
      <c r="H1577" s="4">
        <v>101000</v>
      </c>
      <c r="I1577" s="4">
        <v>-11717</v>
      </c>
      <c r="J1577" s="5">
        <f t="shared" si="24"/>
        <v>89283</v>
      </c>
    </row>
    <row r="1578" spans="1:10" x14ac:dyDescent="0.25">
      <c r="A1578" s="6">
        <v>1589</v>
      </c>
      <c r="B1578" t="s">
        <v>2506</v>
      </c>
      <c r="C1578" t="s">
        <v>1254</v>
      </c>
      <c r="D1578" t="s">
        <v>9</v>
      </c>
      <c r="E1578" t="str">
        <f>VLOOKUP(D1578,'Tên SP'!B$2:C$1070,2,0)</f>
        <v>NƯỚC GIẶT LIX ĐẬM ĐẶC 3,5KG/T04 TÚI</v>
      </c>
      <c r="F1578" s="4">
        <v>101000</v>
      </c>
      <c r="G1578">
        <v>1</v>
      </c>
      <c r="H1578" s="4">
        <v>101000</v>
      </c>
      <c r="I1578" s="4">
        <v>-11716</v>
      </c>
      <c r="J1578" s="5">
        <f t="shared" si="24"/>
        <v>89284</v>
      </c>
    </row>
    <row r="1579" spans="1:10" x14ac:dyDescent="0.25">
      <c r="A1579" s="6">
        <v>1590</v>
      </c>
      <c r="B1579" t="s">
        <v>2507</v>
      </c>
      <c r="C1579" t="s">
        <v>1255</v>
      </c>
      <c r="D1579" t="s">
        <v>42</v>
      </c>
      <c r="E1579" t="str">
        <f>VLOOKUP(D1579,'Tên SP'!B$2:C$1070,2,0)</f>
        <v>BỘT GIẶT LIXE HƯƠNG NƯỚC HOA 2,4KG/05</v>
      </c>
      <c r="F1579" s="4">
        <v>66000</v>
      </c>
      <c r="G1579">
        <v>1</v>
      </c>
      <c r="H1579" s="4">
        <v>66000</v>
      </c>
      <c r="I1579" s="4">
        <v>-2551</v>
      </c>
      <c r="J1579" s="5">
        <f t="shared" si="24"/>
        <v>63449</v>
      </c>
    </row>
    <row r="1580" spans="1:10" x14ac:dyDescent="0.25">
      <c r="A1580" s="6">
        <v>1591</v>
      </c>
      <c r="B1580" t="s">
        <v>2507</v>
      </c>
      <c r="C1580" t="s">
        <v>1255</v>
      </c>
      <c r="D1580" t="s">
        <v>38</v>
      </c>
      <c r="E1580" t="str">
        <f>VLOOKUP(D1580,'Tên SP'!B$2:C$1070,2,0)</f>
        <v>BỘT GIẶT LIXE HƯƠNG NƯỚC HOA 5,5KG/03</v>
      </c>
      <c r="F1580" s="4">
        <v>141000</v>
      </c>
      <c r="G1580">
        <v>1</v>
      </c>
      <c r="H1580" s="4">
        <v>141000</v>
      </c>
      <c r="I1580" s="4">
        <v>-5449</v>
      </c>
      <c r="J1580" s="5">
        <f t="shared" si="24"/>
        <v>135551</v>
      </c>
    </row>
    <row r="1581" spans="1:10" x14ac:dyDescent="0.25">
      <c r="A1581" s="6">
        <v>1592</v>
      </c>
      <c r="B1581" t="s">
        <v>2507</v>
      </c>
      <c r="C1581" t="s">
        <v>1255</v>
      </c>
      <c r="D1581" t="s">
        <v>184</v>
      </c>
      <c r="E1581" t="str">
        <f>VLOOKUP(D1581,'Tên SP'!B$2:C$1070,2,0)</f>
        <v>GEL DIỆT KHUẨN TAY ON1 60ML/CH80</v>
      </c>
      <c r="F1581" s="4">
        <v>24000</v>
      </c>
      <c r="G1581">
        <v>1</v>
      </c>
      <c r="H1581" s="4">
        <v>24000</v>
      </c>
      <c r="I1581" s="4">
        <v>-24000</v>
      </c>
      <c r="J1581" s="5">
        <f t="shared" si="24"/>
        <v>0</v>
      </c>
    </row>
    <row r="1582" spans="1:10" x14ac:dyDescent="0.25">
      <c r="A1582" s="6">
        <v>1593</v>
      </c>
      <c r="B1582" t="s">
        <v>2508</v>
      </c>
      <c r="C1582" t="s">
        <v>1256</v>
      </c>
      <c r="D1582" t="s">
        <v>206</v>
      </c>
      <c r="E1582" t="str">
        <f>VLOOKUP(D1582,'Tên SP'!B$2:C$1070,2,0)</f>
        <v>NƯỚC GIẶT LIX MATIC HƯƠNG NƯỚC HOA 3,6KG/C04</v>
      </c>
      <c r="F1582" s="4">
        <v>121800</v>
      </c>
      <c r="G1582">
        <v>1</v>
      </c>
      <c r="H1582" s="4">
        <v>121800</v>
      </c>
      <c r="I1582" s="4">
        <v>-15000</v>
      </c>
      <c r="J1582" s="5">
        <f t="shared" si="24"/>
        <v>106800</v>
      </c>
    </row>
    <row r="1583" spans="1:10" x14ac:dyDescent="0.25">
      <c r="A1583" s="6">
        <v>1594</v>
      </c>
      <c r="B1583" t="s">
        <v>2509</v>
      </c>
      <c r="C1583" t="s">
        <v>1257</v>
      </c>
      <c r="D1583" t="s">
        <v>23</v>
      </c>
      <c r="E1583" t="str">
        <f>VLOOKUP(D1583,'Tên SP'!B$2:C$1070,2,0)</f>
        <v>NƯỚC XẢ VẢI LIXSOFT 3,6L/C04</v>
      </c>
      <c r="F1583" s="4">
        <v>80040</v>
      </c>
      <c r="G1583">
        <v>1</v>
      </c>
      <c r="H1583" s="4">
        <v>80040</v>
      </c>
      <c r="I1583" s="4">
        <v>-12006</v>
      </c>
      <c r="J1583" s="5">
        <f t="shared" si="24"/>
        <v>68034</v>
      </c>
    </row>
    <row r="1584" spans="1:10" x14ac:dyDescent="0.25">
      <c r="A1584" s="6">
        <v>1595</v>
      </c>
      <c r="B1584" t="s">
        <v>2510</v>
      </c>
      <c r="C1584" t="s">
        <v>1258</v>
      </c>
      <c r="D1584" t="s">
        <v>164</v>
      </c>
      <c r="E1584" t="str">
        <f>VLOOKUP(D1584,'Tên SP'!B$2:C$1070,2,0)</f>
        <v>NƯỚC GIẶT XẢ MATIC ON1 GARDEN OF FAME 3,5KG/T04 (TÚI)</v>
      </c>
      <c r="F1584" s="4">
        <v>145000</v>
      </c>
      <c r="G1584">
        <v>1</v>
      </c>
      <c r="H1584" s="4">
        <v>145000</v>
      </c>
      <c r="I1584" s="4">
        <v>-15350</v>
      </c>
      <c r="J1584" s="5">
        <f t="shared" si="24"/>
        <v>129650</v>
      </c>
    </row>
    <row r="1585" spans="1:10" x14ac:dyDescent="0.25">
      <c r="A1585" s="6">
        <v>1596</v>
      </c>
      <c r="B1585" t="s">
        <v>2510</v>
      </c>
      <c r="C1585" t="s">
        <v>1258</v>
      </c>
      <c r="D1585" t="s">
        <v>164</v>
      </c>
      <c r="E1585" t="str">
        <f>VLOOKUP(D1585,'Tên SP'!B$2:C$1070,2,0)</f>
        <v>NƯỚC GIẶT XẢ MATIC ON1 GARDEN OF FAME 3,5KG/T04 (TÚI)</v>
      </c>
      <c r="F1585" s="4">
        <v>145000</v>
      </c>
      <c r="G1585">
        <v>1</v>
      </c>
      <c r="H1585" s="4">
        <v>145000</v>
      </c>
      <c r="I1585" s="4">
        <v>-15350</v>
      </c>
      <c r="J1585" s="5">
        <f t="shared" si="24"/>
        <v>129650</v>
      </c>
    </row>
    <row r="1586" spans="1:10" x14ac:dyDescent="0.25">
      <c r="A1586" s="6">
        <v>1597</v>
      </c>
      <c r="B1586" t="s">
        <v>2510</v>
      </c>
      <c r="C1586" t="s">
        <v>1258</v>
      </c>
      <c r="D1586" t="s">
        <v>164</v>
      </c>
      <c r="E1586" t="str">
        <f>VLOOKUP(D1586,'Tên SP'!B$2:C$1070,2,0)</f>
        <v>NƯỚC GIẶT XẢ MATIC ON1 GARDEN OF FAME 3,5KG/T04 (TÚI)</v>
      </c>
      <c r="F1586" s="4">
        <v>145000</v>
      </c>
      <c r="G1586">
        <v>1</v>
      </c>
      <c r="H1586" s="4">
        <v>145000</v>
      </c>
      <c r="I1586" s="4">
        <v>-15350</v>
      </c>
      <c r="J1586" s="5">
        <f t="shared" si="24"/>
        <v>129650</v>
      </c>
    </row>
    <row r="1587" spans="1:10" x14ac:dyDescent="0.25">
      <c r="A1587" s="6">
        <v>1598</v>
      </c>
      <c r="B1587" t="s">
        <v>2510</v>
      </c>
      <c r="C1587" t="s">
        <v>1258</v>
      </c>
      <c r="D1587" t="s">
        <v>164</v>
      </c>
      <c r="E1587" t="str">
        <f>VLOOKUP(D1587,'Tên SP'!B$2:C$1070,2,0)</f>
        <v>NƯỚC GIẶT XẢ MATIC ON1 GARDEN OF FAME 3,5KG/T04 (TÚI)</v>
      </c>
      <c r="F1587" s="4">
        <v>145000</v>
      </c>
      <c r="G1587">
        <v>1</v>
      </c>
      <c r="H1587" s="4">
        <v>145000</v>
      </c>
      <c r="I1587" s="4">
        <v>-15350</v>
      </c>
      <c r="J1587" s="5">
        <f t="shared" si="24"/>
        <v>129650</v>
      </c>
    </row>
    <row r="1588" spans="1:10" x14ac:dyDescent="0.25">
      <c r="A1588" s="6">
        <v>1599</v>
      </c>
      <c r="B1588" t="s">
        <v>2511</v>
      </c>
      <c r="C1588" t="s">
        <v>1259</v>
      </c>
      <c r="D1588" t="s">
        <v>38</v>
      </c>
      <c r="E1588" t="str">
        <f>VLOOKUP(D1588,'Tên SP'!B$2:C$1070,2,0)</f>
        <v>BỘT GIẶT LIXE HƯƠNG NƯỚC HOA 5,5KG/03</v>
      </c>
      <c r="F1588" s="4">
        <v>141000</v>
      </c>
      <c r="G1588">
        <v>1</v>
      </c>
      <c r="H1588" s="4">
        <v>141000</v>
      </c>
      <c r="I1588" s="4">
        <v>-42300</v>
      </c>
      <c r="J1588" s="5">
        <f t="shared" si="24"/>
        <v>98700</v>
      </c>
    </row>
    <row r="1589" spans="1:10" x14ac:dyDescent="0.25">
      <c r="A1589" s="6">
        <v>1600</v>
      </c>
      <c r="B1589" t="s">
        <v>2511</v>
      </c>
      <c r="C1589" t="s">
        <v>1260</v>
      </c>
      <c r="D1589" t="s">
        <v>23</v>
      </c>
      <c r="E1589" t="str">
        <f>VLOOKUP(D1589,'Tên SP'!B$2:C$1070,2,0)</f>
        <v>NƯỚC XẢ VẢI LIXSOFT 3,6L/C04</v>
      </c>
      <c r="F1589" s="4">
        <v>80040</v>
      </c>
      <c r="G1589">
        <v>1</v>
      </c>
      <c r="H1589" s="4">
        <v>80040</v>
      </c>
      <c r="I1589" s="4">
        <v>-12006</v>
      </c>
      <c r="J1589" s="5">
        <f t="shared" si="24"/>
        <v>68034</v>
      </c>
    </row>
    <row r="1590" spans="1:10" x14ac:dyDescent="0.25">
      <c r="A1590" s="6">
        <v>1601</v>
      </c>
      <c r="B1590" t="s">
        <v>2512</v>
      </c>
      <c r="C1590" t="s">
        <v>1261</v>
      </c>
      <c r="D1590" t="s">
        <v>38</v>
      </c>
      <c r="E1590" t="str">
        <f>VLOOKUP(D1590,'Tên SP'!B$2:C$1070,2,0)</f>
        <v>BỘT GIẶT LIXE HƯƠNG NƯỚC HOA 5,5KG/03</v>
      </c>
      <c r="F1590" s="4">
        <v>141000</v>
      </c>
      <c r="G1590">
        <v>1</v>
      </c>
      <c r="H1590" s="4">
        <v>141000</v>
      </c>
      <c r="I1590" s="4">
        <v>-42300</v>
      </c>
      <c r="J1590" s="5">
        <f t="shared" si="24"/>
        <v>98700</v>
      </c>
    </row>
    <row r="1591" spans="1:10" x14ac:dyDescent="0.25">
      <c r="A1591" s="6">
        <v>1602</v>
      </c>
      <c r="B1591" t="s">
        <v>2513</v>
      </c>
      <c r="C1591" t="s">
        <v>1262</v>
      </c>
      <c r="D1591" t="s">
        <v>85</v>
      </c>
      <c r="E1591" t="str">
        <f>VLOOKUP(D1591,'Tên SP'!B$2:C$1070,2,0)</f>
        <v>NƯỚC RỬA CHÉN SIÊU SẠCH TRÀ 3,6KG/C04</v>
      </c>
      <c r="F1591" s="4">
        <v>76000</v>
      </c>
      <c r="G1591">
        <v>1</v>
      </c>
      <c r="H1591" s="4">
        <v>76000</v>
      </c>
      <c r="I1591" s="4">
        <v>-11400</v>
      </c>
      <c r="J1591" s="5">
        <f t="shared" ref="J1591:J1654" si="25">H1591+I1591</f>
        <v>64600</v>
      </c>
    </row>
    <row r="1592" spans="1:10" x14ac:dyDescent="0.25">
      <c r="A1592" s="6">
        <v>1603</v>
      </c>
      <c r="B1592" t="s">
        <v>2514</v>
      </c>
      <c r="C1592" t="s">
        <v>1263</v>
      </c>
      <c r="D1592" t="s">
        <v>38</v>
      </c>
      <c r="E1592" t="str">
        <f>VLOOKUP(D1592,'Tên SP'!B$2:C$1070,2,0)</f>
        <v>BỘT GIẶT LIXE HƯƠNG NƯỚC HOA 5,5KG/03</v>
      </c>
      <c r="F1592" s="4">
        <v>141000</v>
      </c>
      <c r="G1592">
        <v>1</v>
      </c>
      <c r="H1592" s="4">
        <v>141000</v>
      </c>
      <c r="I1592" s="4">
        <v>-42300</v>
      </c>
      <c r="J1592" s="5">
        <f t="shared" si="25"/>
        <v>98700</v>
      </c>
    </row>
    <row r="1593" spans="1:10" x14ac:dyDescent="0.25">
      <c r="A1593" s="6">
        <v>1604</v>
      </c>
      <c r="B1593" t="s">
        <v>2515</v>
      </c>
      <c r="C1593" t="s">
        <v>1264</v>
      </c>
      <c r="D1593" t="s">
        <v>42</v>
      </c>
      <c r="E1593" t="str">
        <f>VLOOKUP(D1593,'Tên SP'!B$2:C$1070,2,0)</f>
        <v>BỘT GIẶT LIXE HƯƠNG NƯỚC HOA 2,4KG/05</v>
      </c>
      <c r="F1593" s="4">
        <v>66000</v>
      </c>
      <c r="G1593">
        <v>1</v>
      </c>
      <c r="H1593" s="4">
        <v>66000</v>
      </c>
      <c r="I1593" s="4">
        <v>0</v>
      </c>
      <c r="J1593" s="5">
        <f t="shared" si="25"/>
        <v>66000</v>
      </c>
    </row>
    <row r="1594" spans="1:10" x14ac:dyDescent="0.25">
      <c r="A1594" s="6">
        <v>1605</v>
      </c>
      <c r="B1594" t="s">
        <v>2516</v>
      </c>
      <c r="C1594" t="s">
        <v>1265</v>
      </c>
      <c r="D1594" t="s">
        <v>100</v>
      </c>
      <c r="E1594" t="str">
        <f>VLOOKUP(D1594,'Tên SP'!B$2:C$1070,2,0)</f>
        <v>NƯỚC GIẶT LIX HƯƠNG NƯỚC HOA 3,6KG/C04</v>
      </c>
      <c r="F1594" s="4">
        <v>104400</v>
      </c>
      <c r="G1594">
        <v>1</v>
      </c>
      <c r="H1594" s="4">
        <v>104400</v>
      </c>
      <c r="I1594" s="4">
        <v>-15000</v>
      </c>
      <c r="J1594" s="5">
        <f t="shared" si="25"/>
        <v>89400</v>
      </c>
    </row>
    <row r="1595" spans="1:10" x14ac:dyDescent="0.25">
      <c r="A1595" s="6">
        <v>1606</v>
      </c>
      <c r="B1595" t="s">
        <v>2517</v>
      </c>
      <c r="C1595" t="s">
        <v>1266</v>
      </c>
      <c r="D1595" t="s">
        <v>38</v>
      </c>
      <c r="E1595" t="str">
        <f>VLOOKUP(D1595,'Tên SP'!B$2:C$1070,2,0)</f>
        <v>BỘT GIẶT LIXE HƯƠNG NƯỚC HOA 5,5KG/03</v>
      </c>
      <c r="F1595" s="4">
        <v>141000</v>
      </c>
      <c r="G1595">
        <v>1</v>
      </c>
      <c r="H1595" s="4">
        <v>141000</v>
      </c>
      <c r="I1595" s="4">
        <v>-42300</v>
      </c>
      <c r="J1595" s="5">
        <f t="shared" si="25"/>
        <v>98700</v>
      </c>
    </row>
    <row r="1596" spans="1:10" x14ac:dyDescent="0.25">
      <c r="A1596" s="6">
        <v>1607</v>
      </c>
      <c r="B1596" t="s">
        <v>2518</v>
      </c>
      <c r="C1596" t="s">
        <v>1267</v>
      </c>
      <c r="D1596" t="s">
        <v>23</v>
      </c>
      <c r="E1596" t="str">
        <f>VLOOKUP(D1596,'Tên SP'!B$2:C$1070,2,0)</f>
        <v>NƯỚC XẢ VẢI LIXSOFT 3,6L/C04</v>
      </c>
      <c r="F1596" s="4">
        <v>89000</v>
      </c>
      <c r="G1596">
        <v>1</v>
      </c>
      <c r="H1596" s="4">
        <v>89000</v>
      </c>
      <c r="I1596" s="4">
        <v>-13350</v>
      </c>
      <c r="J1596" s="5">
        <f t="shared" si="25"/>
        <v>75650</v>
      </c>
    </row>
    <row r="1597" spans="1:10" x14ac:dyDescent="0.25">
      <c r="A1597" s="6">
        <v>1608</v>
      </c>
      <c r="B1597" t="s">
        <v>2519</v>
      </c>
      <c r="C1597" t="s">
        <v>1268</v>
      </c>
      <c r="D1597" t="s">
        <v>38</v>
      </c>
      <c r="E1597" t="str">
        <f>VLOOKUP(D1597,'Tên SP'!B$2:C$1070,2,0)</f>
        <v>BỘT GIẶT LIXE HƯƠNG NƯỚC HOA 5,5KG/03</v>
      </c>
      <c r="F1597" s="4">
        <v>141000</v>
      </c>
      <c r="G1597">
        <v>1</v>
      </c>
      <c r="H1597" s="4">
        <v>141000</v>
      </c>
      <c r="I1597" s="4">
        <v>-42300</v>
      </c>
      <c r="J1597" s="5">
        <f t="shared" si="25"/>
        <v>98700</v>
      </c>
    </row>
    <row r="1598" spans="1:10" x14ac:dyDescent="0.25">
      <c r="A1598" s="6">
        <v>1609</v>
      </c>
      <c r="B1598" t="s">
        <v>2520</v>
      </c>
      <c r="C1598" t="s">
        <v>1269</v>
      </c>
      <c r="D1598" t="s">
        <v>23</v>
      </c>
      <c r="E1598" t="str">
        <f>VLOOKUP(D1598,'Tên SP'!B$2:C$1070,2,0)</f>
        <v>NƯỚC XẢ VẢI LIXSOFT 3,6L/C04</v>
      </c>
      <c r="F1598" s="4">
        <v>89000</v>
      </c>
      <c r="G1598">
        <v>1</v>
      </c>
      <c r="H1598" s="4">
        <v>89000</v>
      </c>
      <c r="I1598" s="4">
        <v>0</v>
      </c>
      <c r="J1598" s="5">
        <f t="shared" si="25"/>
        <v>89000</v>
      </c>
    </row>
    <row r="1599" spans="1:10" x14ac:dyDescent="0.25">
      <c r="A1599" s="6">
        <v>1610</v>
      </c>
      <c r="B1599" t="s">
        <v>2521</v>
      </c>
      <c r="C1599" t="s">
        <v>1270</v>
      </c>
      <c r="D1599" t="s">
        <v>100</v>
      </c>
      <c r="E1599" t="str">
        <f>VLOOKUP(D1599,'Tên SP'!B$2:C$1070,2,0)</f>
        <v>NƯỚC GIẶT LIX HƯƠNG NƯỚC HOA 3,6KG/C04</v>
      </c>
      <c r="F1599" s="4">
        <v>104400</v>
      </c>
      <c r="G1599">
        <v>1</v>
      </c>
      <c r="H1599" s="4">
        <v>104400</v>
      </c>
      <c r="I1599" s="4">
        <v>-15000</v>
      </c>
      <c r="J1599" s="5">
        <f t="shared" si="25"/>
        <v>89400</v>
      </c>
    </row>
    <row r="1600" spans="1:10" x14ac:dyDescent="0.25">
      <c r="A1600" s="6">
        <v>1611</v>
      </c>
      <c r="B1600" t="s">
        <v>2522</v>
      </c>
      <c r="C1600" t="s">
        <v>1271</v>
      </c>
      <c r="D1600" t="s">
        <v>38</v>
      </c>
      <c r="E1600" t="str">
        <f>VLOOKUP(D1600,'Tên SP'!B$2:C$1070,2,0)</f>
        <v>BỘT GIẶT LIXE HƯƠNG NƯỚC HOA 5,5KG/03</v>
      </c>
      <c r="F1600" s="4">
        <v>141000</v>
      </c>
      <c r="G1600">
        <v>1</v>
      </c>
      <c r="H1600" s="4">
        <v>141000</v>
      </c>
      <c r="I1600" s="4">
        <v>-42300</v>
      </c>
      <c r="J1600" s="5">
        <f t="shared" si="25"/>
        <v>98700</v>
      </c>
    </row>
    <row r="1601" spans="1:10" x14ac:dyDescent="0.25">
      <c r="A1601" s="6">
        <v>1612</v>
      </c>
      <c r="B1601" t="s">
        <v>2523</v>
      </c>
      <c r="C1601" t="s">
        <v>1272</v>
      </c>
      <c r="D1601" t="s">
        <v>23</v>
      </c>
      <c r="E1601" t="str">
        <f>VLOOKUP(D1601,'Tên SP'!B$2:C$1070,2,0)</f>
        <v>NƯỚC XẢ VẢI LIXSOFT 3,6L/C04</v>
      </c>
      <c r="F1601" s="4">
        <v>89000</v>
      </c>
      <c r="G1601">
        <v>1</v>
      </c>
      <c r="H1601" s="4">
        <v>89000</v>
      </c>
      <c r="I1601" s="4">
        <v>-13350</v>
      </c>
      <c r="J1601" s="5">
        <f t="shared" si="25"/>
        <v>75650</v>
      </c>
    </row>
    <row r="1602" spans="1:10" x14ac:dyDescent="0.25">
      <c r="A1602" s="6">
        <v>1613</v>
      </c>
      <c r="B1602" t="s">
        <v>2524</v>
      </c>
      <c r="C1602" t="s">
        <v>1273</v>
      </c>
      <c r="D1602" t="s">
        <v>9</v>
      </c>
      <c r="E1602" t="str">
        <f>VLOOKUP(D1602,'Tên SP'!B$2:C$1070,2,0)</f>
        <v>NƯỚC GIẶT LIX ĐẬM ĐẶC 3,5KG/T04 TÚI</v>
      </c>
      <c r="F1602" s="4">
        <v>101000</v>
      </c>
      <c r="G1602">
        <v>1</v>
      </c>
      <c r="H1602" s="4">
        <v>101000</v>
      </c>
      <c r="I1602" s="4">
        <v>-15000</v>
      </c>
      <c r="J1602" s="5">
        <f t="shared" si="25"/>
        <v>86000</v>
      </c>
    </row>
    <row r="1603" spans="1:10" x14ac:dyDescent="0.25">
      <c r="A1603" s="6">
        <v>1614</v>
      </c>
      <c r="B1603" t="s">
        <v>2525</v>
      </c>
      <c r="C1603" t="s">
        <v>1274</v>
      </c>
      <c r="D1603" t="s">
        <v>102</v>
      </c>
      <c r="E1603" t="str">
        <f>VLOOKUP(D1603,'Tên SP'!B$2:C$1070,2,0)</f>
        <v>NƯỚC GIẶT LIX HƯƠNG NƯỚC HOA 3,5KG/T04 TÚI</v>
      </c>
      <c r="F1603" s="4">
        <v>91400</v>
      </c>
      <c r="G1603">
        <v>1</v>
      </c>
      <c r="H1603" s="4">
        <v>91400</v>
      </c>
      <c r="I1603" s="4">
        <v>-7500</v>
      </c>
      <c r="J1603" s="5">
        <f t="shared" si="25"/>
        <v>83900</v>
      </c>
    </row>
    <row r="1604" spans="1:10" x14ac:dyDescent="0.25">
      <c r="A1604" s="6">
        <v>1615</v>
      </c>
      <c r="B1604" t="s">
        <v>2525</v>
      </c>
      <c r="C1604" t="s">
        <v>1274</v>
      </c>
      <c r="D1604" t="s">
        <v>102</v>
      </c>
      <c r="E1604" t="str">
        <f>VLOOKUP(D1604,'Tên SP'!B$2:C$1070,2,0)</f>
        <v>NƯỚC GIẶT LIX HƯƠNG NƯỚC HOA 3,5KG/T04 TÚI</v>
      </c>
      <c r="F1604" s="4">
        <v>91400</v>
      </c>
      <c r="G1604">
        <v>1</v>
      </c>
      <c r="H1604" s="4">
        <v>91400</v>
      </c>
      <c r="I1604" s="4">
        <v>-7500</v>
      </c>
      <c r="J1604" s="5">
        <f t="shared" si="25"/>
        <v>83900</v>
      </c>
    </row>
    <row r="1605" spans="1:10" x14ac:dyDescent="0.25">
      <c r="A1605" s="6">
        <v>1616</v>
      </c>
      <c r="B1605" t="s">
        <v>2525</v>
      </c>
      <c r="C1605" t="s">
        <v>1274</v>
      </c>
      <c r="D1605" t="s">
        <v>184</v>
      </c>
      <c r="E1605" t="str">
        <f>VLOOKUP(D1605,'Tên SP'!B$2:C$1070,2,0)</f>
        <v>GEL DIỆT KHUẨN TAY ON1 60ML/CH80</v>
      </c>
      <c r="F1605" s="4">
        <v>21800</v>
      </c>
      <c r="G1605">
        <v>1</v>
      </c>
      <c r="H1605" s="4">
        <v>21800</v>
      </c>
      <c r="I1605" s="4">
        <v>-21800</v>
      </c>
      <c r="J1605" s="5">
        <f t="shared" si="25"/>
        <v>0</v>
      </c>
    </row>
    <row r="1606" spans="1:10" x14ac:dyDescent="0.25">
      <c r="A1606" s="6">
        <v>1617</v>
      </c>
      <c r="B1606" t="s">
        <v>2526</v>
      </c>
      <c r="C1606" t="s">
        <v>1275</v>
      </c>
      <c r="D1606" t="s">
        <v>38</v>
      </c>
      <c r="E1606" t="str">
        <f>VLOOKUP(D1606,'Tên SP'!B$2:C$1070,2,0)</f>
        <v>BỘT GIẶT LIXE HƯƠNG NƯỚC HOA 5,5KG/03</v>
      </c>
      <c r="F1606" s="4">
        <v>126200</v>
      </c>
      <c r="G1606">
        <v>1</v>
      </c>
      <c r="H1606" s="4">
        <v>126200</v>
      </c>
      <c r="I1606" s="4">
        <v>-37860</v>
      </c>
      <c r="J1606" s="5">
        <f t="shared" si="25"/>
        <v>88340</v>
      </c>
    </row>
    <row r="1607" spans="1:10" x14ac:dyDescent="0.25">
      <c r="A1607" s="6">
        <v>1618</v>
      </c>
      <c r="B1607" t="s">
        <v>2527</v>
      </c>
      <c r="C1607" t="s">
        <v>1276</v>
      </c>
      <c r="D1607" t="s">
        <v>100</v>
      </c>
      <c r="E1607" t="str">
        <f>VLOOKUP(D1607,'Tên SP'!B$2:C$1070,2,0)</f>
        <v>NƯỚC GIẶT LIX HƯƠNG NƯỚC HOA 3,6KG/C04</v>
      </c>
      <c r="F1607" s="4">
        <v>104400</v>
      </c>
      <c r="G1607">
        <v>1</v>
      </c>
      <c r="H1607" s="4">
        <v>104400</v>
      </c>
      <c r="I1607" s="4">
        <v>-10000</v>
      </c>
      <c r="J1607" s="5">
        <f t="shared" si="25"/>
        <v>94400</v>
      </c>
    </row>
    <row r="1608" spans="1:10" x14ac:dyDescent="0.25">
      <c r="A1608" s="6">
        <v>1619</v>
      </c>
      <c r="B1608" t="s">
        <v>2527</v>
      </c>
      <c r="C1608" t="s">
        <v>1276</v>
      </c>
      <c r="D1608" t="s">
        <v>100</v>
      </c>
      <c r="E1608" t="str">
        <f>VLOOKUP(D1608,'Tên SP'!B$2:C$1070,2,0)</f>
        <v>NƯỚC GIẶT LIX HƯƠNG NƯỚC HOA 3,6KG/C04</v>
      </c>
      <c r="F1608" s="4">
        <v>104400</v>
      </c>
      <c r="G1608">
        <v>1</v>
      </c>
      <c r="H1608" s="4">
        <v>104400</v>
      </c>
      <c r="I1608" s="4">
        <v>-10000</v>
      </c>
      <c r="J1608" s="5">
        <f t="shared" si="25"/>
        <v>94400</v>
      </c>
    </row>
    <row r="1609" spans="1:10" x14ac:dyDescent="0.25">
      <c r="A1609" s="6">
        <v>1620</v>
      </c>
      <c r="B1609" t="s">
        <v>2527</v>
      </c>
      <c r="C1609" t="s">
        <v>1276</v>
      </c>
      <c r="D1609" t="s">
        <v>100</v>
      </c>
      <c r="E1609" t="str">
        <f>VLOOKUP(D1609,'Tên SP'!B$2:C$1070,2,0)</f>
        <v>NƯỚC GIẶT LIX HƯƠNG NƯỚC HOA 3,6KG/C04</v>
      </c>
      <c r="F1609" s="4">
        <v>104400</v>
      </c>
      <c r="G1609">
        <v>1</v>
      </c>
      <c r="H1609" s="4">
        <v>104400</v>
      </c>
      <c r="I1609" s="4">
        <v>-10000</v>
      </c>
      <c r="J1609" s="5">
        <f t="shared" si="25"/>
        <v>94400</v>
      </c>
    </row>
    <row r="1610" spans="1:10" x14ac:dyDescent="0.25">
      <c r="A1610" s="6">
        <v>1621</v>
      </c>
      <c r="B1610" t="s">
        <v>2527</v>
      </c>
      <c r="C1610" t="s">
        <v>1276</v>
      </c>
      <c r="D1610" t="s">
        <v>184</v>
      </c>
      <c r="E1610" t="str">
        <f>VLOOKUP(D1610,'Tên SP'!B$2:C$1070,2,0)</f>
        <v>GEL DIỆT KHUẨN TAY ON1 60ML/CH80</v>
      </c>
      <c r="F1610" s="4">
        <v>21800</v>
      </c>
      <c r="G1610">
        <v>1</v>
      </c>
      <c r="H1610" s="4">
        <v>21800</v>
      </c>
      <c r="I1610" s="4">
        <v>-21800</v>
      </c>
      <c r="J1610" s="5">
        <f t="shared" si="25"/>
        <v>0</v>
      </c>
    </row>
    <row r="1611" spans="1:10" x14ac:dyDescent="0.25">
      <c r="A1611" s="6">
        <v>1622</v>
      </c>
      <c r="B1611" t="s">
        <v>2528</v>
      </c>
      <c r="C1611" t="s">
        <v>1277</v>
      </c>
      <c r="D1611" t="s">
        <v>38</v>
      </c>
      <c r="E1611" t="str">
        <f>VLOOKUP(D1611,'Tên SP'!B$2:C$1070,2,0)</f>
        <v>BỘT GIẶT LIXE HƯƠNG NƯỚC HOA 5,5KG/03</v>
      </c>
      <c r="F1611" s="4">
        <v>126200</v>
      </c>
      <c r="G1611">
        <v>1</v>
      </c>
      <c r="H1611" s="4">
        <v>126200</v>
      </c>
      <c r="I1611" s="4">
        <v>-37860</v>
      </c>
      <c r="J1611" s="5">
        <f t="shared" si="25"/>
        <v>88340</v>
      </c>
    </row>
    <row r="1612" spans="1:10" x14ac:dyDescent="0.25">
      <c r="A1612" s="6">
        <v>1623</v>
      </c>
      <c r="B1612" t="s">
        <v>2529</v>
      </c>
      <c r="C1612" t="s">
        <v>1278</v>
      </c>
      <c r="D1612" t="s">
        <v>2743</v>
      </c>
      <c r="E1612" t="str">
        <f>VLOOKUP(D1612,'Tên SP'!B$2:C$1070,2,0)</f>
        <v>BỘT GIẶT LIXE 2,4KG/06</v>
      </c>
      <c r="F1612" s="4">
        <v>66000</v>
      </c>
      <c r="G1612">
        <v>1</v>
      </c>
      <c r="H1612" s="4">
        <v>66000</v>
      </c>
      <c r="I1612" s="4">
        <v>-8930</v>
      </c>
      <c r="J1612" s="5">
        <f t="shared" si="25"/>
        <v>57070</v>
      </c>
    </row>
    <row r="1613" spans="1:10" x14ac:dyDescent="0.25">
      <c r="A1613" s="6">
        <v>1624</v>
      </c>
      <c r="B1613" t="s">
        <v>2529</v>
      </c>
      <c r="C1613" t="s">
        <v>1278</v>
      </c>
      <c r="D1613" t="s">
        <v>102</v>
      </c>
      <c r="E1613" t="str">
        <f>VLOOKUP(D1613,'Tên SP'!B$2:C$1070,2,0)</f>
        <v>NƯỚC GIẶT LIX HƯƠNG NƯỚC HOA 3,5KG/T04 TÚI</v>
      </c>
      <c r="F1613" s="4">
        <v>91400</v>
      </c>
      <c r="G1613">
        <v>1</v>
      </c>
      <c r="H1613" s="4">
        <v>91400</v>
      </c>
      <c r="I1613" s="4">
        <v>-12366</v>
      </c>
      <c r="J1613" s="5">
        <f t="shared" si="25"/>
        <v>79034</v>
      </c>
    </row>
    <row r="1614" spans="1:10" x14ac:dyDescent="0.25">
      <c r="A1614" s="6">
        <v>1625</v>
      </c>
      <c r="B1614" t="s">
        <v>2530</v>
      </c>
      <c r="C1614" t="s">
        <v>1279</v>
      </c>
      <c r="D1614" t="s">
        <v>28</v>
      </c>
      <c r="E1614" t="str">
        <f>VLOOKUP(D1614,'Tên SP'!B$2:C$1070,2,0)</f>
        <v>NƯỚC XẢ VẢI LIXSOFT HƯƠNG HOA HỒNG 3,6L/C04</v>
      </c>
      <c r="F1614" s="4">
        <v>80100</v>
      </c>
      <c r="G1614">
        <v>1</v>
      </c>
      <c r="H1614" s="4">
        <v>80100</v>
      </c>
      <c r="I1614" s="4">
        <v>-12231</v>
      </c>
      <c r="J1614" s="5">
        <f t="shared" si="25"/>
        <v>67869</v>
      </c>
    </row>
    <row r="1615" spans="1:10" x14ac:dyDescent="0.25">
      <c r="A1615" s="6">
        <v>1626</v>
      </c>
      <c r="B1615" t="s">
        <v>2530</v>
      </c>
      <c r="C1615" t="s">
        <v>1279</v>
      </c>
      <c r="D1615" t="s">
        <v>94</v>
      </c>
      <c r="E1615" t="str">
        <f>VLOOKUP(D1615,'Tên SP'!B$2:C$1070,2,0)</f>
        <v>NƯỚC LAU SÀN ĐUỔI CÔN TRÙNG LIX 2L/C08</v>
      </c>
      <c r="F1615" s="4">
        <v>53000</v>
      </c>
      <c r="G1615">
        <v>1</v>
      </c>
      <c r="H1615" s="4">
        <v>53000</v>
      </c>
      <c r="I1615" s="4">
        <v>-8093</v>
      </c>
      <c r="J1615" s="5">
        <f t="shared" si="25"/>
        <v>44907</v>
      </c>
    </row>
    <row r="1616" spans="1:10" x14ac:dyDescent="0.25">
      <c r="A1616" s="6">
        <v>1627</v>
      </c>
      <c r="B1616" t="s">
        <v>2531</v>
      </c>
      <c r="C1616" t="s">
        <v>1280</v>
      </c>
      <c r="D1616" t="s">
        <v>38</v>
      </c>
      <c r="E1616" t="str">
        <f>VLOOKUP(D1616,'Tên SP'!B$2:C$1070,2,0)</f>
        <v>BỘT GIẶT LIXE HƯƠNG NƯỚC HOA 5,5KG/03</v>
      </c>
      <c r="F1616" s="4">
        <v>126200</v>
      </c>
      <c r="G1616">
        <v>1</v>
      </c>
      <c r="H1616" s="4">
        <v>126200</v>
      </c>
      <c r="I1616" s="4">
        <v>-37860</v>
      </c>
      <c r="J1616" s="5">
        <f t="shared" si="25"/>
        <v>88340</v>
      </c>
    </row>
    <row r="1617" spans="1:10" x14ac:dyDescent="0.25">
      <c r="A1617" s="6">
        <v>1628</v>
      </c>
      <c r="B1617" t="s">
        <v>2532</v>
      </c>
      <c r="C1617" t="s">
        <v>1281</v>
      </c>
      <c r="D1617" t="s">
        <v>73</v>
      </c>
      <c r="E1617" t="str">
        <f>VLOOKUP(D1617,'Tên SP'!B$2:C$1070,2,0)</f>
        <v>NƯỚC RỬA CHÉN SIÊU SẠCH CHANH 1,5KG/T08- TÚI</v>
      </c>
      <c r="F1617" s="4">
        <v>39150</v>
      </c>
      <c r="G1617">
        <v>1</v>
      </c>
      <c r="H1617" s="4">
        <v>39150</v>
      </c>
      <c r="I1617" s="4">
        <v>-1935</v>
      </c>
      <c r="J1617" s="5">
        <f t="shared" si="25"/>
        <v>37215</v>
      </c>
    </row>
    <row r="1618" spans="1:10" x14ac:dyDescent="0.25">
      <c r="A1618" s="6">
        <v>1629</v>
      </c>
      <c r="B1618" t="s">
        <v>2532</v>
      </c>
      <c r="C1618" t="s">
        <v>1281</v>
      </c>
      <c r="D1618" t="s">
        <v>102</v>
      </c>
      <c r="E1618" t="str">
        <f>VLOOKUP(D1618,'Tên SP'!B$2:C$1070,2,0)</f>
        <v>NƯỚC GIẶT LIX HƯƠNG NƯỚC HOA 3,5KG/T04 TÚI</v>
      </c>
      <c r="F1618" s="4">
        <v>91400</v>
      </c>
      <c r="G1618">
        <v>1</v>
      </c>
      <c r="H1618" s="4">
        <v>91400</v>
      </c>
      <c r="I1618" s="4">
        <v>-4516</v>
      </c>
      <c r="J1618" s="5">
        <f t="shared" si="25"/>
        <v>86884</v>
      </c>
    </row>
    <row r="1619" spans="1:10" x14ac:dyDescent="0.25">
      <c r="A1619" s="6">
        <v>1630</v>
      </c>
      <c r="B1619" t="s">
        <v>2532</v>
      </c>
      <c r="C1619" t="s">
        <v>1281</v>
      </c>
      <c r="D1619" t="s">
        <v>102</v>
      </c>
      <c r="E1619" t="str">
        <f>VLOOKUP(D1619,'Tên SP'!B$2:C$1070,2,0)</f>
        <v>NƯỚC GIẶT LIX HƯƠNG NƯỚC HOA 3,5KG/T04 TÚI</v>
      </c>
      <c r="F1619" s="4">
        <v>91400</v>
      </c>
      <c r="G1619">
        <v>1</v>
      </c>
      <c r="H1619" s="4">
        <v>91400</v>
      </c>
      <c r="I1619" s="4">
        <v>-4516</v>
      </c>
      <c r="J1619" s="5">
        <f t="shared" si="25"/>
        <v>86884</v>
      </c>
    </row>
    <row r="1620" spans="1:10" x14ac:dyDescent="0.25">
      <c r="A1620" s="6">
        <v>1631</v>
      </c>
      <c r="B1620" t="s">
        <v>2532</v>
      </c>
      <c r="C1620" t="s">
        <v>1281</v>
      </c>
      <c r="D1620" t="s">
        <v>102</v>
      </c>
      <c r="E1620" t="str">
        <f>VLOOKUP(D1620,'Tên SP'!B$2:C$1070,2,0)</f>
        <v>NƯỚC GIẶT LIX HƯƠNG NƯỚC HOA 3,5KG/T04 TÚI</v>
      </c>
      <c r="F1620" s="4">
        <v>91400</v>
      </c>
      <c r="G1620">
        <v>1</v>
      </c>
      <c r="H1620" s="4">
        <v>91400</v>
      </c>
      <c r="I1620" s="4">
        <v>-4517</v>
      </c>
      <c r="J1620" s="5">
        <f t="shared" si="25"/>
        <v>86883</v>
      </c>
    </row>
    <row r="1621" spans="1:10" x14ac:dyDescent="0.25">
      <c r="A1621" s="6">
        <v>1632</v>
      </c>
      <c r="B1621" t="s">
        <v>2532</v>
      </c>
      <c r="C1621" t="s">
        <v>1281</v>
      </c>
      <c r="D1621" t="s">
        <v>102</v>
      </c>
      <c r="E1621" t="str">
        <f>VLOOKUP(D1621,'Tên SP'!B$2:C$1070,2,0)</f>
        <v>NƯỚC GIẶT LIX HƯƠNG NƯỚC HOA 3,5KG/T04 TÚI</v>
      </c>
      <c r="F1621" s="4">
        <v>91400</v>
      </c>
      <c r="G1621">
        <v>1</v>
      </c>
      <c r="H1621" s="4">
        <v>91400</v>
      </c>
      <c r="I1621" s="4">
        <v>-4516</v>
      </c>
      <c r="J1621" s="5">
        <f t="shared" si="25"/>
        <v>86884</v>
      </c>
    </row>
    <row r="1622" spans="1:10" x14ac:dyDescent="0.25">
      <c r="A1622" s="6">
        <v>1633</v>
      </c>
      <c r="B1622" t="s">
        <v>2532</v>
      </c>
      <c r="C1622" t="s">
        <v>1281</v>
      </c>
      <c r="D1622" t="s">
        <v>184</v>
      </c>
      <c r="E1622" t="str">
        <f>VLOOKUP(D1622,'Tên SP'!B$2:C$1070,2,0)</f>
        <v>GEL DIỆT KHUẨN TAY ON1 60ML/CH80</v>
      </c>
      <c r="F1622" s="4">
        <v>21800</v>
      </c>
      <c r="G1622">
        <v>1</v>
      </c>
      <c r="H1622" s="4">
        <v>21800</v>
      </c>
      <c r="I1622" s="4">
        <v>-21800</v>
      </c>
      <c r="J1622" s="5">
        <f t="shared" si="25"/>
        <v>0</v>
      </c>
    </row>
    <row r="1623" spans="1:10" x14ac:dyDescent="0.25">
      <c r="A1623" s="6">
        <v>1634</v>
      </c>
      <c r="B1623" t="s">
        <v>2533</v>
      </c>
      <c r="C1623" t="s">
        <v>1282</v>
      </c>
      <c r="D1623" t="s">
        <v>9</v>
      </c>
      <c r="E1623" t="str">
        <f>VLOOKUP(D1623,'Tên SP'!B$2:C$1070,2,0)</f>
        <v>NƯỚC GIẶT LIX ĐẬM ĐẶC 3,5KG/T04 TÚI</v>
      </c>
      <c r="F1623" s="4">
        <v>91400</v>
      </c>
      <c r="G1623">
        <v>1</v>
      </c>
      <c r="H1623" s="4">
        <v>91400</v>
      </c>
      <c r="I1623" s="4">
        <v>-8000</v>
      </c>
      <c r="J1623" s="5">
        <f t="shared" si="25"/>
        <v>83400</v>
      </c>
    </row>
    <row r="1624" spans="1:10" x14ac:dyDescent="0.25">
      <c r="A1624" s="6">
        <v>1635</v>
      </c>
      <c r="B1624" t="s">
        <v>2534</v>
      </c>
      <c r="C1624" t="s">
        <v>1283</v>
      </c>
      <c r="D1624" t="s">
        <v>97</v>
      </c>
      <c r="E1624" t="str">
        <f>VLOOKUP(D1624,'Tên SP'!B$2:C$1070,2,0)</f>
        <v>NƯỚC GIẶT LIX ĐẬM ĐẶC 3,6KG/C04</v>
      </c>
      <c r="F1624" s="4">
        <v>104400</v>
      </c>
      <c r="G1624">
        <v>1</v>
      </c>
      <c r="H1624" s="4">
        <v>104400</v>
      </c>
      <c r="I1624" s="4">
        <v>-8000</v>
      </c>
      <c r="J1624" s="5">
        <f t="shared" si="25"/>
        <v>96400</v>
      </c>
    </row>
    <row r="1625" spans="1:10" x14ac:dyDescent="0.25">
      <c r="A1625" s="6">
        <v>1636</v>
      </c>
      <c r="B1625" t="s">
        <v>2535</v>
      </c>
      <c r="C1625" t="s">
        <v>1284</v>
      </c>
      <c r="D1625" t="s">
        <v>9</v>
      </c>
      <c r="E1625" t="str">
        <f>VLOOKUP(D1625,'Tên SP'!B$2:C$1070,2,0)</f>
        <v>NƯỚC GIẶT LIX ĐẬM ĐẶC 3,5KG/T04 TÚI</v>
      </c>
      <c r="F1625" s="4">
        <v>91400</v>
      </c>
      <c r="G1625">
        <v>1</v>
      </c>
      <c r="H1625" s="4">
        <v>91400</v>
      </c>
      <c r="I1625" s="4">
        <v>-8000</v>
      </c>
      <c r="J1625" s="5">
        <f t="shared" si="25"/>
        <v>83400</v>
      </c>
    </row>
    <row r="1626" spans="1:10" x14ac:dyDescent="0.25">
      <c r="A1626" s="6">
        <v>1637</v>
      </c>
      <c r="B1626" t="s">
        <v>2536</v>
      </c>
      <c r="C1626" t="s">
        <v>1285</v>
      </c>
      <c r="D1626" t="s">
        <v>44</v>
      </c>
      <c r="E1626" t="str">
        <f>VLOOKUP(D1626,'Tên SP'!B$2:C$1070,2,0)</f>
        <v>BỘT GIẶT LIXE CHANH 5,5KG/03</v>
      </c>
      <c r="F1626" s="4">
        <v>126200</v>
      </c>
      <c r="G1626">
        <v>1</v>
      </c>
      <c r="H1626" s="4">
        <v>126200</v>
      </c>
      <c r="I1626" s="4">
        <v>-8000</v>
      </c>
      <c r="J1626" s="5">
        <f t="shared" si="25"/>
        <v>118200</v>
      </c>
    </row>
    <row r="1627" spans="1:10" x14ac:dyDescent="0.25">
      <c r="A1627" s="6">
        <v>1638</v>
      </c>
      <c r="B1627" t="s">
        <v>2537</v>
      </c>
      <c r="C1627" t="s">
        <v>1286</v>
      </c>
      <c r="D1627" t="s">
        <v>102</v>
      </c>
      <c r="E1627" t="str">
        <f>VLOOKUP(D1627,'Tên SP'!B$2:C$1070,2,0)</f>
        <v>NƯỚC GIẶT LIX HƯƠNG NƯỚC HOA 3,5KG/T04 TÚI</v>
      </c>
      <c r="F1627" s="4">
        <v>88000</v>
      </c>
      <c r="G1627">
        <v>1</v>
      </c>
      <c r="H1627" s="4">
        <v>88000</v>
      </c>
      <c r="I1627" s="4">
        <v>-13200</v>
      </c>
      <c r="J1627" s="5">
        <f t="shared" si="25"/>
        <v>74800</v>
      </c>
    </row>
    <row r="1628" spans="1:10" x14ac:dyDescent="0.25">
      <c r="A1628" s="6">
        <v>1639</v>
      </c>
      <c r="B1628" t="s">
        <v>2538</v>
      </c>
      <c r="C1628" t="s">
        <v>1287</v>
      </c>
      <c r="D1628" t="s">
        <v>102</v>
      </c>
      <c r="E1628" t="str">
        <f>VLOOKUP(D1628,'Tên SP'!B$2:C$1070,2,0)</f>
        <v>NƯỚC GIẶT LIX HƯƠNG NƯỚC HOA 3,5KG/T04 TÚI</v>
      </c>
      <c r="F1628" s="4">
        <v>88000</v>
      </c>
      <c r="G1628">
        <v>1</v>
      </c>
      <c r="H1628" s="4">
        <v>88000</v>
      </c>
      <c r="I1628" s="4">
        <v>-3520</v>
      </c>
      <c r="J1628" s="5">
        <f t="shared" si="25"/>
        <v>84480</v>
      </c>
    </row>
    <row r="1629" spans="1:10" x14ac:dyDescent="0.25">
      <c r="A1629" s="6">
        <v>1640</v>
      </c>
      <c r="B1629" t="s">
        <v>2538</v>
      </c>
      <c r="C1629" t="s">
        <v>1287</v>
      </c>
      <c r="D1629" t="s">
        <v>102</v>
      </c>
      <c r="E1629" t="str">
        <f>VLOOKUP(D1629,'Tên SP'!B$2:C$1070,2,0)</f>
        <v>NƯỚC GIẶT LIX HƯƠNG NƯỚC HOA 3,5KG/T04 TÚI</v>
      </c>
      <c r="F1629" s="4">
        <v>88000</v>
      </c>
      <c r="G1629">
        <v>1</v>
      </c>
      <c r="H1629" s="4">
        <v>88000</v>
      </c>
      <c r="I1629" s="4">
        <v>-3520</v>
      </c>
      <c r="J1629" s="5">
        <f t="shared" si="25"/>
        <v>84480</v>
      </c>
    </row>
    <row r="1630" spans="1:10" x14ac:dyDescent="0.25">
      <c r="A1630" s="6">
        <v>1641</v>
      </c>
      <c r="B1630" t="s">
        <v>2539</v>
      </c>
      <c r="C1630" t="s">
        <v>1288</v>
      </c>
      <c r="D1630" t="s">
        <v>102</v>
      </c>
      <c r="E1630" t="str">
        <f>VLOOKUP(D1630,'Tên SP'!B$2:C$1070,2,0)</f>
        <v>NƯỚC GIẶT LIX HƯƠNG NƯỚC HOA 3,5KG/T04 TÚI</v>
      </c>
      <c r="F1630" s="4">
        <v>88000</v>
      </c>
      <c r="G1630">
        <v>1</v>
      </c>
      <c r="H1630" s="4">
        <v>88000</v>
      </c>
      <c r="I1630" s="4">
        <v>0</v>
      </c>
      <c r="J1630" s="5">
        <f t="shared" si="25"/>
        <v>88000</v>
      </c>
    </row>
    <row r="1631" spans="1:10" x14ac:dyDescent="0.25">
      <c r="A1631" s="6">
        <v>1642</v>
      </c>
      <c r="B1631" t="s">
        <v>2540</v>
      </c>
      <c r="C1631" t="s">
        <v>1289</v>
      </c>
      <c r="D1631" t="s">
        <v>102</v>
      </c>
      <c r="E1631" t="str">
        <f>VLOOKUP(D1631,'Tên SP'!B$2:C$1070,2,0)</f>
        <v>NƯỚC GIẶT LIX HƯƠNG NƯỚC HOA 3,5KG/T04 TÚI</v>
      </c>
      <c r="F1631" s="4">
        <v>88000</v>
      </c>
      <c r="G1631">
        <v>1</v>
      </c>
      <c r="H1631" s="4">
        <v>88000</v>
      </c>
      <c r="I1631" s="4">
        <v>-3520</v>
      </c>
      <c r="J1631" s="5">
        <f t="shared" si="25"/>
        <v>84480</v>
      </c>
    </row>
    <row r="1632" spans="1:10" x14ac:dyDescent="0.25">
      <c r="A1632" s="6">
        <v>1643</v>
      </c>
      <c r="B1632" t="s">
        <v>2540</v>
      </c>
      <c r="C1632" t="s">
        <v>1289</v>
      </c>
      <c r="D1632" t="s">
        <v>102</v>
      </c>
      <c r="E1632" t="str">
        <f>VLOOKUP(D1632,'Tên SP'!B$2:C$1070,2,0)</f>
        <v>NƯỚC GIẶT LIX HƯƠNG NƯỚC HOA 3,5KG/T04 TÚI</v>
      </c>
      <c r="F1632" s="4">
        <v>88000</v>
      </c>
      <c r="G1632">
        <v>1</v>
      </c>
      <c r="H1632" s="4">
        <v>88000</v>
      </c>
      <c r="I1632" s="4">
        <v>-3520</v>
      </c>
      <c r="J1632" s="5">
        <f t="shared" si="25"/>
        <v>84480</v>
      </c>
    </row>
    <row r="1633" spans="1:10" x14ac:dyDescent="0.25">
      <c r="A1633" s="6">
        <v>1644</v>
      </c>
      <c r="B1633" t="s">
        <v>2541</v>
      </c>
      <c r="C1633" t="s">
        <v>1290</v>
      </c>
      <c r="D1633" t="s">
        <v>102</v>
      </c>
      <c r="E1633" t="str">
        <f>VLOOKUP(D1633,'Tên SP'!B$2:C$1070,2,0)</f>
        <v>NƯỚC GIẶT LIX HƯƠNG NƯỚC HOA 3,5KG/T04 TÚI</v>
      </c>
      <c r="F1633" s="4">
        <v>88000</v>
      </c>
      <c r="G1633">
        <v>1</v>
      </c>
      <c r="H1633" s="4">
        <v>88000</v>
      </c>
      <c r="I1633" s="4">
        <v>-13200</v>
      </c>
      <c r="J1633" s="5">
        <f t="shared" si="25"/>
        <v>74800</v>
      </c>
    </row>
    <row r="1634" spans="1:10" x14ac:dyDescent="0.25">
      <c r="A1634" s="6">
        <v>1645</v>
      </c>
      <c r="B1634" t="s">
        <v>2542</v>
      </c>
      <c r="C1634" t="s">
        <v>1291</v>
      </c>
      <c r="D1634" t="s">
        <v>102</v>
      </c>
      <c r="E1634" t="str">
        <f>VLOOKUP(D1634,'Tên SP'!B$2:C$1070,2,0)</f>
        <v>NƯỚC GIẶT LIX HƯƠNG NƯỚC HOA 3,5KG/T04 TÚI</v>
      </c>
      <c r="F1634" s="4">
        <v>88000</v>
      </c>
      <c r="G1634">
        <v>1</v>
      </c>
      <c r="H1634" s="4">
        <v>88000</v>
      </c>
      <c r="I1634" s="4">
        <v>0</v>
      </c>
      <c r="J1634" s="5">
        <f t="shared" si="25"/>
        <v>88000</v>
      </c>
    </row>
    <row r="1635" spans="1:10" x14ac:dyDescent="0.25">
      <c r="A1635" s="6">
        <v>1646</v>
      </c>
      <c r="B1635" t="s">
        <v>2543</v>
      </c>
      <c r="C1635" t="s">
        <v>1292</v>
      </c>
      <c r="D1635" t="s">
        <v>102</v>
      </c>
      <c r="E1635" t="str">
        <f>VLOOKUP(D1635,'Tên SP'!B$2:C$1070,2,0)</f>
        <v>NƯỚC GIẶT LIX HƯƠNG NƯỚC HOA 3,5KG/T04 TÚI</v>
      </c>
      <c r="F1635" s="4">
        <v>88000</v>
      </c>
      <c r="G1635">
        <v>1</v>
      </c>
      <c r="H1635" s="4">
        <v>88000</v>
      </c>
      <c r="I1635" s="4">
        <v>-3750</v>
      </c>
      <c r="J1635" s="5">
        <f t="shared" si="25"/>
        <v>84250</v>
      </c>
    </row>
    <row r="1636" spans="1:10" x14ac:dyDescent="0.25">
      <c r="A1636" s="6">
        <v>1647</v>
      </c>
      <c r="B1636" t="s">
        <v>2543</v>
      </c>
      <c r="C1636" t="s">
        <v>1292</v>
      </c>
      <c r="D1636" t="s">
        <v>102</v>
      </c>
      <c r="E1636" t="str">
        <f>VLOOKUP(D1636,'Tên SP'!B$2:C$1070,2,0)</f>
        <v>NƯỚC GIẶT LIX HƯƠNG NƯỚC HOA 3,5KG/T04 TÚI</v>
      </c>
      <c r="F1636" s="4">
        <v>88000</v>
      </c>
      <c r="G1636">
        <v>1</v>
      </c>
      <c r="H1636" s="4">
        <v>88000</v>
      </c>
      <c r="I1636" s="4">
        <v>-3750</v>
      </c>
      <c r="J1636" s="5">
        <f t="shared" si="25"/>
        <v>84250</v>
      </c>
    </row>
    <row r="1637" spans="1:10" x14ac:dyDescent="0.25">
      <c r="A1637" s="6">
        <v>1648</v>
      </c>
      <c r="B1637" t="s">
        <v>2543</v>
      </c>
      <c r="C1637" t="s">
        <v>1292</v>
      </c>
      <c r="D1637" t="s">
        <v>102</v>
      </c>
      <c r="E1637" t="str">
        <f>VLOOKUP(D1637,'Tên SP'!B$2:C$1070,2,0)</f>
        <v>NƯỚC GIẶT LIX HƯƠNG NƯỚC HOA 3,5KG/T04 TÚI</v>
      </c>
      <c r="F1637" s="4">
        <v>88000</v>
      </c>
      <c r="G1637">
        <v>1</v>
      </c>
      <c r="H1637" s="4">
        <v>88000</v>
      </c>
      <c r="I1637" s="4">
        <v>-3750</v>
      </c>
      <c r="J1637" s="5">
        <f t="shared" si="25"/>
        <v>84250</v>
      </c>
    </row>
    <row r="1638" spans="1:10" x14ac:dyDescent="0.25">
      <c r="A1638" s="6">
        <v>1649</v>
      </c>
      <c r="B1638" t="s">
        <v>2543</v>
      </c>
      <c r="C1638" t="s">
        <v>1292</v>
      </c>
      <c r="D1638" t="s">
        <v>102</v>
      </c>
      <c r="E1638" t="str">
        <f>VLOOKUP(D1638,'Tên SP'!B$2:C$1070,2,0)</f>
        <v>NƯỚC GIẶT LIX HƯƠNG NƯỚC HOA 3,5KG/T04 TÚI</v>
      </c>
      <c r="F1638" s="4">
        <v>88000</v>
      </c>
      <c r="G1638">
        <v>1</v>
      </c>
      <c r="H1638" s="4">
        <v>88000</v>
      </c>
      <c r="I1638" s="4">
        <v>-3750</v>
      </c>
      <c r="J1638" s="5">
        <f t="shared" si="25"/>
        <v>84250</v>
      </c>
    </row>
    <row r="1639" spans="1:10" x14ac:dyDescent="0.25">
      <c r="A1639" s="6">
        <v>1650</v>
      </c>
      <c r="B1639" t="s">
        <v>2543</v>
      </c>
      <c r="C1639" t="s">
        <v>1292</v>
      </c>
      <c r="D1639" t="s">
        <v>184</v>
      </c>
      <c r="E1639" t="str">
        <f>VLOOKUP(D1639,'Tên SP'!B$2:C$1070,2,0)</f>
        <v>GEL DIỆT KHUẨN TAY ON1 60ML/CH80</v>
      </c>
      <c r="F1639" s="4">
        <v>24500</v>
      </c>
      <c r="G1639">
        <v>1</v>
      </c>
      <c r="H1639" s="4">
        <v>24500</v>
      </c>
      <c r="I1639" s="4">
        <v>-24500</v>
      </c>
      <c r="J1639" s="5">
        <f t="shared" si="25"/>
        <v>0</v>
      </c>
    </row>
    <row r="1640" spans="1:10" x14ac:dyDescent="0.25">
      <c r="A1640" s="6">
        <v>1651</v>
      </c>
      <c r="B1640" t="s">
        <v>2544</v>
      </c>
      <c r="C1640" t="s">
        <v>1293</v>
      </c>
      <c r="D1640" t="s">
        <v>102</v>
      </c>
      <c r="E1640" t="str">
        <f>VLOOKUP(D1640,'Tên SP'!B$2:C$1070,2,0)</f>
        <v>NƯỚC GIẶT LIX HƯƠNG NƯỚC HOA 3,5KG/T04 TÚI</v>
      </c>
      <c r="F1640" s="4">
        <v>88000</v>
      </c>
      <c r="G1640">
        <v>1</v>
      </c>
      <c r="H1640" s="4">
        <v>88000</v>
      </c>
      <c r="I1640" s="4">
        <v>0</v>
      </c>
      <c r="J1640" s="5">
        <f t="shared" si="25"/>
        <v>88000</v>
      </c>
    </row>
    <row r="1641" spans="1:10" x14ac:dyDescent="0.25">
      <c r="A1641" s="6">
        <v>1652</v>
      </c>
      <c r="B1641" t="s">
        <v>2545</v>
      </c>
      <c r="C1641" t="s">
        <v>1294</v>
      </c>
      <c r="D1641" t="s">
        <v>102</v>
      </c>
      <c r="E1641" t="str">
        <f>VLOOKUP(D1641,'Tên SP'!B$2:C$1070,2,0)</f>
        <v>NƯỚC GIẶT LIX HƯƠNG NƯỚC HOA 3,5KG/T04 TÚI</v>
      </c>
      <c r="F1641" s="4">
        <v>88000</v>
      </c>
      <c r="G1641">
        <v>1</v>
      </c>
      <c r="H1641" s="4">
        <v>88000</v>
      </c>
      <c r="I1641" s="4">
        <v>-13200</v>
      </c>
      <c r="J1641" s="5">
        <f t="shared" si="25"/>
        <v>74800</v>
      </c>
    </row>
    <row r="1642" spans="1:10" x14ac:dyDescent="0.25">
      <c r="A1642" s="6">
        <v>1653</v>
      </c>
      <c r="B1642" t="s">
        <v>2546</v>
      </c>
      <c r="C1642" t="s">
        <v>1295</v>
      </c>
      <c r="D1642" t="s">
        <v>102</v>
      </c>
      <c r="E1642" t="str">
        <f>VLOOKUP(D1642,'Tên SP'!B$2:C$1070,2,0)</f>
        <v>NƯỚC GIẶT LIX HƯƠNG NƯỚC HOA 3,5KG/T04 TÚI</v>
      </c>
      <c r="F1642" s="4">
        <v>88000</v>
      </c>
      <c r="G1642">
        <v>1</v>
      </c>
      <c r="H1642" s="4">
        <v>88000</v>
      </c>
      <c r="I1642" s="4">
        <v>0</v>
      </c>
      <c r="J1642" s="5">
        <f t="shared" si="25"/>
        <v>88000</v>
      </c>
    </row>
    <row r="1643" spans="1:10" x14ac:dyDescent="0.25">
      <c r="A1643" s="6">
        <v>1654</v>
      </c>
      <c r="B1643" t="s">
        <v>2547</v>
      </c>
      <c r="C1643" t="s">
        <v>1296</v>
      </c>
      <c r="D1643" t="s">
        <v>102</v>
      </c>
      <c r="E1643" t="str">
        <f>VLOOKUP(D1643,'Tên SP'!B$2:C$1070,2,0)</f>
        <v>NƯỚC GIẶT LIX HƯƠNG NƯỚC HOA 3,5KG/T04 TÚI</v>
      </c>
      <c r="F1643" s="4">
        <v>88000</v>
      </c>
      <c r="G1643">
        <v>1</v>
      </c>
      <c r="H1643" s="4">
        <v>88000</v>
      </c>
      <c r="I1643" s="4">
        <v>0</v>
      </c>
      <c r="J1643" s="5">
        <f t="shared" si="25"/>
        <v>88000</v>
      </c>
    </row>
    <row r="1644" spans="1:10" x14ac:dyDescent="0.25">
      <c r="A1644" s="6">
        <v>1655</v>
      </c>
      <c r="B1644" t="s">
        <v>2548</v>
      </c>
      <c r="C1644" t="s">
        <v>1297</v>
      </c>
      <c r="D1644" t="s">
        <v>83</v>
      </c>
      <c r="E1644" t="str">
        <f>VLOOKUP(D1644,'Tên SP'!B$2:C$1070,2,0)</f>
        <v>NƯỚC RỬA CHÉN SIÊU SẠCH TRÀ 1,5KG/T08- TÚI</v>
      </c>
      <c r="F1644" s="4">
        <v>38000</v>
      </c>
      <c r="G1644">
        <v>1</v>
      </c>
      <c r="H1644" s="4">
        <v>38000</v>
      </c>
      <c r="I1644" s="4">
        <v>0</v>
      </c>
      <c r="J1644" s="5">
        <f t="shared" si="25"/>
        <v>38000</v>
      </c>
    </row>
    <row r="1645" spans="1:10" x14ac:dyDescent="0.25">
      <c r="A1645" s="6">
        <v>1656</v>
      </c>
      <c r="B1645" t="s">
        <v>2549</v>
      </c>
      <c r="C1645" t="s">
        <v>1298</v>
      </c>
      <c r="D1645" t="s">
        <v>71</v>
      </c>
      <c r="E1645" t="str">
        <f>VLOOKUP(D1645,'Tên SP'!B$2:C$1070,2,0)</f>
        <v>NƯỚC RỬA CHÉN SIÊU SẠCH CHANH 3,5KG/T04- TÚI</v>
      </c>
      <c r="F1645" s="4">
        <v>67500</v>
      </c>
      <c r="G1645">
        <v>1</v>
      </c>
      <c r="H1645" s="4">
        <v>67500</v>
      </c>
      <c r="I1645" s="4">
        <v>-5000</v>
      </c>
      <c r="J1645" s="5">
        <f t="shared" si="25"/>
        <v>62500</v>
      </c>
    </row>
    <row r="1646" spans="1:10" x14ac:dyDescent="0.25">
      <c r="A1646" s="6">
        <v>1657</v>
      </c>
      <c r="B1646" t="s">
        <v>2549</v>
      </c>
      <c r="C1646" t="s">
        <v>1298</v>
      </c>
      <c r="D1646" t="s">
        <v>71</v>
      </c>
      <c r="E1646" t="str">
        <f>VLOOKUP(D1646,'Tên SP'!B$2:C$1070,2,0)</f>
        <v>NƯỚC RỬA CHÉN SIÊU SẠCH CHANH 3,5KG/T04- TÚI</v>
      </c>
      <c r="F1646" s="4">
        <v>67500</v>
      </c>
      <c r="G1646">
        <v>1</v>
      </c>
      <c r="H1646" s="4">
        <v>67500</v>
      </c>
      <c r="I1646" s="4">
        <v>-5000</v>
      </c>
      <c r="J1646" s="5">
        <f t="shared" si="25"/>
        <v>62500</v>
      </c>
    </row>
    <row r="1647" spans="1:10" x14ac:dyDescent="0.25">
      <c r="A1647" s="6">
        <v>1658</v>
      </c>
      <c r="B1647" t="s">
        <v>2549</v>
      </c>
      <c r="C1647" t="s">
        <v>1298</v>
      </c>
      <c r="D1647" t="s">
        <v>71</v>
      </c>
      <c r="E1647" t="str">
        <f>VLOOKUP(D1647,'Tên SP'!B$2:C$1070,2,0)</f>
        <v>NƯỚC RỬA CHÉN SIÊU SẠCH CHANH 3,5KG/T04- TÚI</v>
      </c>
      <c r="F1647" s="4">
        <v>67500</v>
      </c>
      <c r="G1647">
        <v>1</v>
      </c>
      <c r="H1647" s="4">
        <v>67500</v>
      </c>
      <c r="I1647" s="4">
        <v>-5000</v>
      </c>
      <c r="J1647" s="5">
        <f t="shared" si="25"/>
        <v>62500</v>
      </c>
    </row>
    <row r="1648" spans="1:10" x14ac:dyDescent="0.25">
      <c r="A1648" s="6">
        <v>1659</v>
      </c>
      <c r="B1648" t="s">
        <v>2549</v>
      </c>
      <c r="C1648" t="s">
        <v>1298</v>
      </c>
      <c r="D1648" t="s">
        <v>184</v>
      </c>
      <c r="E1648" t="str">
        <f>VLOOKUP(D1648,'Tên SP'!B$2:C$1070,2,0)</f>
        <v>GEL DIỆT KHUẨN TAY ON1 60ML/CH80</v>
      </c>
      <c r="F1648" s="4">
        <v>24500</v>
      </c>
      <c r="G1648">
        <v>1</v>
      </c>
      <c r="H1648" s="4">
        <v>24500</v>
      </c>
      <c r="I1648" s="4">
        <v>-24500</v>
      </c>
      <c r="J1648" s="5">
        <f t="shared" si="25"/>
        <v>0</v>
      </c>
    </row>
    <row r="1649" spans="1:10" x14ac:dyDescent="0.25">
      <c r="A1649" s="6">
        <v>1660</v>
      </c>
      <c r="B1649" t="s">
        <v>2550</v>
      </c>
      <c r="C1649" t="s">
        <v>1299</v>
      </c>
      <c r="D1649" t="s">
        <v>71</v>
      </c>
      <c r="E1649" t="str">
        <f>VLOOKUP(D1649,'Tên SP'!B$2:C$1070,2,0)</f>
        <v>NƯỚC RỬA CHÉN SIÊU SẠCH CHANH 3,5KG/T04- TÚI</v>
      </c>
      <c r="F1649" s="4">
        <v>67500</v>
      </c>
      <c r="G1649">
        <v>1</v>
      </c>
      <c r="H1649" s="4">
        <v>67500</v>
      </c>
      <c r="I1649" s="4">
        <v>-10125</v>
      </c>
      <c r="J1649" s="5">
        <f t="shared" si="25"/>
        <v>57375</v>
      </c>
    </row>
    <row r="1650" spans="1:10" x14ac:dyDescent="0.25">
      <c r="A1650" s="6">
        <v>1661</v>
      </c>
      <c r="B1650" t="s">
        <v>2551</v>
      </c>
      <c r="C1650" t="s">
        <v>1300</v>
      </c>
      <c r="D1650" t="s">
        <v>102</v>
      </c>
      <c r="E1650" t="str">
        <f>VLOOKUP(D1650,'Tên SP'!B$2:C$1070,2,0)</f>
        <v>NƯỚC GIẶT LIX HƯƠNG NƯỚC HOA 3,5KG/T04 TÚI</v>
      </c>
      <c r="F1650" s="4">
        <v>88000</v>
      </c>
      <c r="G1650">
        <v>1</v>
      </c>
      <c r="H1650" s="4">
        <v>88000</v>
      </c>
      <c r="I1650" s="4">
        <v>-13200</v>
      </c>
      <c r="J1650" s="5">
        <f t="shared" si="25"/>
        <v>74800</v>
      </c>
    </row>
    <row r="1651" spans="1:10" x14ac:dyDescent="0.25">
      <c r="A1651" s="6">
        <v>1662</v>
      </c>
      <c r="B1651" t="s">
        <v>2552</v>
      </c>
      <c r="C1651" t="s">
        <v>1301</v>
      </c>
      <c r="D1651" t="s">
        <v>102</v>
      </c>
      <c r="E1651" t="str">
        <f>VLOOKUP(D1651,'Tên SP'!B$2:C$1070,2,0)</f>
        <v>NƯỚC GIẶT LIX HƯƠNG NƯỚC HOA 3,5KG/T04 TÚI</v>
      </c>
      <c r="F1651" s="4">
        <v>88000</v>
      </c>
      <c r="G1651">
        <v>1</v>
      </c>
      <c r="H1651" s="4">
        <v>88000</v>
      </c>
      <c r="I1651" s="4">
        <v>-13200</v>
      </c>
      <c r="J1651" s="5">
        <f t="shared" si="25"/>
        <v>74800</v>
      </c>
    </row>
    <row r="1652" spans="1:10" x14ac:dyDescent="0.25">
      <c r="A1652" s="6">
        <v>1663</v>
      </c>
      <c r="B1652" t="s">
        <v>2553</v>
      </c>
      <c r="C1652" t="s">
        <v>1302</v>
      </c>
      <c r="D1652" t="s">
        <v>102</v>
      </c>
      <c r="E1652" t="str">
        <f>VLOOKUP(D1652,'Tên SP'!B$2:C$1070,2,0)</f>
        <v>NƯỚC GIẶT LIX HƯƠNG NƯỚC HOA 3,5KG/T04 TÚI</v>
      </c>
      <c r="F1652" s="4">
        <v>88000</v>
      </c>
      <c r="G1652">
        <v>1</v>
      </c>
      <c r="H1652" s="4">
        <v>88000</v>
      </c>
      <c r="I1652" s="4">
        <v>-13200</v>
      </c>
      <c r="J1652" s="5">
        <f t="shared" si="25"/>
        <v>74800</v>
      </c>
    </row>
    <row r="1653" spans="1:10" x14ac:dyDescent="0.25">
      <c r="A1653" s="6">
        <v>1664</v>
      </c>
      <c r="B1653" t="s">
        <v>2554</v>
      </c>
      <c r="C1653" t="s">
        <v>1303</v>
      </c>
      <c r="D1653" t="s">
        <v>102</v>
      </c>
      <c r="E1653" t="str">
        <f>VLOOKUP(D1653,'Tên SP'!B$2:C$1070,2,0)</f>
        <v>NƯỚC GIẶT LIX HƯƠNG NƯỚC HOA 3,5KG/T04 TÚI</v>
      </c>
      <c r="F1653" s="4">
        <v>88000</v>
      </c>
      <c r="G1653">
        <v>1</v>
      </c>
      <c r="H1653" s="4">
        <v>88000</v>
      </c>
      <c r="I1653" s="4">
        <v>-13200</v>
      </c>
      <c r="J1653" s="5">
        <f t="shared" si="25"/>
        <v>74800</v>
      </c>
    </row>
    <row r="1654" spans="1:10" x14ac:dyDescent="0.25">
      <c r="A1654" s="6">
        <v>1665</v>
      </c>
      <c r="B1654" t="s">
        <v>2555</v>
      </c>
      <c r="C1654" t="s">
        <v>1304</v>
      </c>
      <c r="D1654" t="s">
        <v>102</v>
      </c>
      <c r="E1654" t="str">
        <f>VLOOKUP(D1654,'Tên SP'!B$2:C$1070,2,0)</f>
        <v>NƯỚC GIẶT LIX HƯƠNG NƯỚC HOA 3,5KG/T04 TÚI</v>
      </c>
      <c r="F1654" s="4">
        <v>88000</v>
      </c>
      <c r="G1654">
        <v>1</v>
      </c>
      <c r="H1654" s="4">
        <v>88000</v>
      </c>
      <c r="I1654" s="4">
        <v>0</v>
      </c>
      <c r="J1654" s="5">
        <f t="shared" si="25"/>
        <v>88000</v>
      </c>
    </row>
    <row r="1655" spans="1:10" x14ac:dyDescent="0.25">
      <c r="A1655" s="6">
        <v>1666</v>
      </c>
      <c r="B1655" t="s">
        <v>2556</v>
      </c>
      <c r="C1655" t="s">
        <v>1305</v>
      </c>
      <c r="D1655" t="s">
        <v>102</v>
      </c>
      <c r="E1655" t="str">
        <f>VLOOKUP(D1655,'Tên SP'!B$2:C$1070,2,0)</f>
        <v>NƯỚC GIẶT LIX HƯƠNG NƯỚC HOA 3,5KG/T04 TÚI</v>
      </c>
      <c r="F1655" s="4">
        <v>88000</v>
      </c>
      <c r="G1655">
        <v>1</v>
      </c>
      <c r="H1655" s="4">
        <v>88000</v>
      </c>
      <c r="I1655" s="4">
        <v>0</v>
      </c>
      <c r="J1655" s="5">
        <f t="shared" ref="J1655:J1718" si="26">H1655+I1655</f>
        <v>88000</v>
      </c>
    </row>
    <row r="1656" spans="1:10" x14ac:dyDescent="0.25">
      <c r="A1656" s="6">
        <v>1667</v>
      </c>
      <c r="B1656" t="s">
        <v>2557</v>
      </c>
      <c r="C1656" t="s">
        <v>1306</v>
      </c>
      <c r="D1656" t="s">
        <v>102</v>
      </c>
      <c r="E1656" t="str">
        <f>VLOOKUP(D1656,'Tên SP'!B$2:C$1070,2,0)</f>
        <v>NƯỚC GIẶT LIX HƯƠNG NƯỚC HOA 3,5KG/T04 TÚI</v>
      </c>
      <c r="F1656" s="4">
        <v>88000</v>
      </c>
      <c r="G1656">
        <v>1</v>
      </c>
      <c r="H1656" s="4">
        <v>88000</v>
      </c>
      <c r="I1656" s="4">
        <v>0</v>
      </c>
      <c r="J1656" s="5">
        <f t="shared" si="26"/>
        <v>88000</v>
      </c>
    </row>
    <row r="1657" spans="1:10" x14ac:dyDescent="0.25">
      <c r="A1657" s="6">
        <v>1668</v>
      </c>
      <c r="B1657" t="s">
        <v>2558</v>
      </c>
      <c r="C1657" t="s">
        <v>1307</v>
      </c>
      <c r="D1657" t="s">
        <v>102</v>
      </c>
      <c r="E1657" t="str">
        <f>VLOOKUP(D1657,'Tên SP'!B$2:C$1070,2,0)</f>
        <v>NƯỚC GIẶT LIX HƯƠNG NƯỚC HOA 3,5KG/T04 TÚI</v>
      </c>
      <c r="F1657" s="4">
        <v>88000</v>
      </c>
      <c r="G1657">
        <v>1</v>
      </c>
      <c r="H1657" s="4">
        <v>88000</v>
      </c>
      <c r="I1657" s="4">
        <v>-3520</v>
      </c>
      <c r="J1657" s="5">
        <f t="shared" si="26"/>
        <v>84480</v>
      </c>
    </row>
    <row r="1658" spans="1:10" x14ac:dyDescent="0.25">
      <c r="A1658" s="6">
        <v>1669</v>
      </c>
      <c r="B1658" t="s">
        <v>2558</v>
      </c>
      <c r="C1658" t="s">
        <v>1307</v>
      </c>
      <c r="D1658" t="s">
        <v>102</v>
      </c>
      <c r="E1658" t="str">
        <f>VLOOKUP(D1658,'Tên SP'!B$2:C$1070,2,0)</f>
        <v>NƯỚC GIẶT LIX HƯƠNG NƯỚC HOA 3,5KG/T04 TÚI</v>
      </c>
      <c r="F1658" s="4">
        <v>88000</v>
      </c>
      <c r="G1658">
        <v>1</v>
      </c>
      <c r="H1658" s="4">
        <v>88000</v>
      </c>
      <c r="I1658" s="4">
        <v>-3520</v>
      </c>
      <c r="J1658" s="5">
        <f t="shared" si="26"/>
        <v>84480</v>
      </c>
    </row>
    <row r="1659" spans="1:10" x14ac:dyDescent="0.25">
      <c r="A1659" s="6">
        <v>1670</v>
      </c>
      <c r="B1659" t="s">
        <v>2559</v>
      </c>
      <c r="C1659" t="s">
        <v>1308</v>
      </c>
      <c r="D1659" t="s">
        <v>102</v>
      </c>
      <c r="E1659" t="str">
        <f>VLOOKUP(D1659,'Tên SP'!B$2:C$1070,2,0)</f>
        <v>NƯỚC GIẶT LIX HƯƠNG NƯỚC HOA 3,5KG/T04 TÚI</v>
      </c>
      <c r="F1659" s="4">
        <v>88000</v>
      </c>
      <c r="G1659">
        <v>1</v>
      </c>
      <c r="H1659" s="4">
        <v>88000</v>
      </c>
      <c r="I1659" s="4">
        <v>-11020</v>
      </c>
      <c r="J1659" s="5">
        <f t="shared" si="26"/>
        <v>76980</v>
      </c>
    </row>
    <row r="1660" spans="1:10" x14ac:dyDescent="0.25">
      <c r="A1660" s="6">
        <v>1671</v>
      </c>
      <c r="B1660" t="s">
        <v>2559</v>
      </c>
      <c r="C1660" t="s">
        <v>1308</v>
      </c>
      <c r="D1660" t="s">
        <v>102</v>
      </c>
      <c r="E1660" t="str">
        <f>VLOOKUP(D1660,'Tên SP'!B$2:C$1070,2,0)</f>
        <v>NƯỚC GIẶT LIX HƯƠNG NƯỚC HOA 3,5KG/T04 TÚI</v>
      </c>
      <c r="F1660" s="4">
        <v>88000</v>
      </c>
      <c r="G1660">
        <v>1</v>
      </c>
      <c r="H1660" s="4">
        <v>88000</v>
      </c>
      <c r="I1660" s="4">
        <v>-11020</v>
      </c>
      <c r="J1660" s="5">
        <f t="shared" si="26"/>
        <v>76980</v>
      </c>
    </row>
    <row r="1661" spans="1:10" x14ac:dyDescent="0.25">
      <c r="A1661" s="6">
        <v>1672</v>
      </c>
      <c r="B1661" t="s">
        <v>2560</v>
      </c>
      <c r="C1661" t="s">
        <v>1309</v>
      </c>
      <c r="D1661" t="s">
        <v>102</v>
      </c>
      <c r="E1661" t="str">
        <f>VLOOKUP(D1661,'Tên SP'!B$2:C$1070,2,0)</f>
        <v>NƯỚC GIẶT LIX HƯƠNG NƯỚC HOA 3,5KG/T04 TÚI</v>
      </c>
      <c r="F1661" s="4">
        <v>88000</v>
      </c>
      <c r="G1661">
        <v>1</v>
      </c>
      <c r="H1661" s="4">
        <v>88000</v>
      </c>
      <c r="I1661" s="4">
        <v>-13200</v>
      </c>
      <c r="J1661" s="5">
        <f t="shared" si="26"/>
        <v>74800</v>
      </c>
    </row>
    <row r="1662" spans="1:10" x14ac:dyDescent="0.25">
      <c r="A1662" s="6">
        <v>1673</v>
      </c>
      <c r="B1662" t="s">
        <v>2561</v>
      </c>
      <c r="C1662" t="s">
        <v>1310</v>
      </c>
      <c r="D1662" t="s">
        <v>102</v>
      </c>
      <c r="E1662" t="str">
        <f>VLOOKUP(D1662,'Tên SP'!B$2:C$1070,2,0)</f>
        <v>NƯỚC GIẶT LIX HƯƠNG NƯỚC HOA 3,5KG/T04 TÚI</v>
      </c>
      <c r="F1662" s="4">
        <v>88000</v>
      </c>
      <c r="G1662">
        <v>1</v>
      </c>
      <c r="H1662" s="4">
        <v>88000</v>
      </c>
      <c r="I1662" s="4">
        <v>-3750</v>
      </c>
      <c r="J1662" s="5">
        <f t="shared" si="26"/>
        <v>84250</v>
      </c>
    </row>
    <row r="1663" spans="1:10" x14ac:dyDescent="0.25">
      <c r="A1663" s="6">
        <v>1674</v>
      </c>
      <c r="B1663" t="s">
        <v>2561</v>
      </c>
      <c r="C1663" t="s">
        <v>1310</v>
      </c>
      <c r="D1663" t="s">
        <v>102</v>
      </c>
      <c r="E1663" t="str">
        <f>VLOOKUP(D1663,'Tên SP'!B$2:C$1070,2,0)</f>
        <v>NƯỚC GIẶT LIX HƯƠNG NƯỚC HOA 3,5KG/T04 TÚI</v>
      </c>
      <c r="F1663" s="4">
        <v>88000</v>
      </c>
      <c r="G1663">
        <v>1</v>
      </c>
      <c r="H1663" s="4">
        <v>88000</v>
      </c>
      <c r="I1663" s="4">
        <v>-3750</v>
      </c>
      <c r="J1663" s="5">
        <f t="shared" si="26"/>
        <v>84250</v>
      </c>
    </row>
    <row r="1664" spans="1:10" x14ac:dyDescent="0.25">
      <c r="A1664" s="6">
        <v>1675</v>
      </c>
      <c r="B1664" t="s">
        <v>2561</v>
      </c>
      <c r="C1664" t="s">
        <v>1310</v>
      </c>
      <c r="D1664" t="s">
        <v>102</v>
      </c>
      <c r="E1664" t="str">
        <f>VLOOKUP(D1664,'Tên SP'!B$2:C$1070,2,0)</f>
        <v>NƯỚC GIẶT LIX HƯƠNG NƯỚC HOA 3,5KG/T04 TÚI</v>
      </c>
      <c r="F1664" s="4">
        <v>88000</v>
      </c>
      <c r="G1664">
        <v>1</v>
      </c>
      <c r="H1664" s="4">
        <v>88000</v>
      </c>
      <c r="I1664" s="4">
        <v>-3750</v>
      </c>
      <c r="J1664" s="5">
        <f t="shared" si="26"/>
        <v>84250</v>
      </c>
    </row>
    <row r="1665" spans="1:10" x14ac:dyDescent="0.25">
      <c r="A1665" s="6">
        <v>1676</v>
      </c>
      <c r="B1665" t="s">
        <v>2561</v>
      </c>
      <c r="C1665" t="s">
        <v>1310</v>
      </c>
      <c r="D1665" t="s">
        <v>102</v>
      </c>
      <c r="E1665" t="str">
        <f>VLOOKUP(D1665,'Tên SP'!B$2:C$1070,2,0)</f>
        <v>NƯỚC GIẶT LIX HƯƠNG NƯỚC HOA 3,5KG/T04 TÚI</v>
      </c>
      <c r="F1665" s="4">
        <v>88000</v>
      </c>
      <c r="G1665">
        <v>1</v>
      </c>
      <c r="H1665" s="4">
        <v>88000</v>
      </c>
      <c r="I1665" s="4">
        <v>-3750</v>
      </c>
      <c r="J1665" s="5">
        <f t="shared" si="26"/>
        <v>84250</v>
      </c>
    </row>
    <row r="1666" spans="1:10" x14ac:dyDescent="0.25">
      <c r="A1666" s="6">
        <v>1677</v>
      </c>
      <c r="B1666" t="s">
        <v>2561</v>
      </c>
      <c r="C1666" t="s">
        <v>1310</v>
      </c>
      <c r="D1666" t="s">
        <v>184</v>
      </c>
      <c r="E1666" t="str">
        <f>VLOOKUP(D1666,'Tên SP'!B$2:C$1070,2,0)</f>
        <v>GEL DIỆT KHUẨN TAY ON1 60ML/CH80</v>
      </c>
      <c r="F1666" s="4">
        <v>24500</v>
      </c>
      <c r="G1666">
        <v>1</v>
      </c>
      <c r="H1666" s="4">
        <v>24500</v>
      </c>
      <c r="I1666" s="4">
        <v>-24500</v>
      </c>
      <c r="J1666" s="5">
        <f t="shared" si="26"/>
        <v>0</v>
      </c>
    </row>
    <row r="1667" spans="1:10" x14ac:dyDescent="0.25">
      <c r="A1667" s="6">
        <v>1678</v>
      </c>
      <c r="B1667" t="s">
        <v>2562</v>
      </c>
      <c r="C1667" t="s">
        <v>1311</v>
      </c>
      <c r="D1667" t="s">
        <v>23</v>
      </c>
      <c r="E1667" t="str">
        <f>VLOOKUP(D1667,'Tên SP'!B$2:C$1070,2,0)</f>
        <v>NƯỚC XẢ VẢI LIXSOFT 3,6L/C04</v>
      </c>
      <c r="F1667" s="4">
        <v>81880</v>
      </c>
      <c r="G1667">
        <v>1</v>
      </c>
      <c r="H1667" s="4">
        <v>81880</v>
      </c>
      <c r="I1667" s="4">
        <v>-12282</v>
      </c>
      <c r="J1667" s="5">
        <f t="shared" si="26"/>
        <v>69598</v>
      </c>
    </row>
    <row r="1668" spans="1:10" x14ac:dyDescent="0.25">
      <c r="A1668" s="6">
        <v>1679</v>
      </c>
      <c r="B1668" t="s">
        <v>2563</v>
      </c>
      <c r="C1668" t="s">
        <v>1312</v>
      </c>
      <c r="D1668" t="s">
        <v>102</v>
      </c>
      <c r="E1668" t="str">
        <f>VLOOKUP(D1668,'Tên SP'!B$2:C$1070,2,0)</f>
        <v>NƯỚC GIẶT LIX HƯƠNG NƯỚC HOA 3,5KG/T04 TÚI</v>
      </c>
      <c r="F1668" s="4">
        <v>88000</v>
      </c>
      <c r="G1668">
        <v>1</v>
      </c>
      <c r="H1668" s="4">
        <v>88000</v>
      </c>
      <c r="I1668" s="4">
        <v>0</v>
      </c>
      <c r="J1668" s="5">
        <f t="shared" si="26"/>
        <v>88000</v>
      </c>
    </row>
    <row r="1669" spans="1:10" x14ac:dyDescent="0.25">
      <c r="A1669" s="6">
        <v>1680</v>
      </c>
      <c r="B1669" t="s">
        <v>2564</v>
      </c>
      <c r="C1669" t="s">
        <v>1313</v>
      </c>
      <c r="D1669" t="s">
        <v>102</v>
      </c>
      <c r="E1669" t="str">
        <f>VLOOKUP(D1669,'Tên SP'!B$2:C$1070,2,0)</f>
        <v>NƯỚC GIẶT LIX HƯƠNG NƯỚC HOA 3,5KG/T04 TÚI</v>
      </c>
      <c r="F1669" s="4">
        <v>88000</v>
      </c>
      <c r="G1669">
        <v>1</v>
      </c>
      <c r="H1669" s="4">
        <v>88000</v>
      </c>
      <c r="I1669" s="4">
        <v>0</v>
      </c>
      <c r="J1669" s="5">
        <f t="shared" si="26"/>
        <v>88000</v>
      </c>
    </row>
    <row r="1670" spans="1:10" x14ac:dyDescent="0.25">
      <c r="A1670" s="6">
        <v>1681</v>
      </c>
      <c r="B1670" t="s">
        <v>2565</v>
      </c>
      <c r="C1670" t="s">
        <v>1314</v>
      </c>
      <c r="D1670" t="s">
        <v>102</v>
      </c>
      <c r="E1670" t="str">
        <f>VLOOKUP(D1670,'Tên SP'!B$2:C$1070,2,0)</f>
        <v>NƯỚC GIẶT LIX HƯƠNG NƯỚC HOA 3,5KG/T04 TÚI</v>
      </c>
      <c r="F1670" s="4">
        <v>88000</v>
      </c>
      <c r="G1670">
        <v>1</v>
      </c>
      <c r="H1670" s="4">
        <v>88000</v>
      </c>
      <c r="I1670" s="4">
        <v>0</v>
      </c>
      <c r="J1670" s="5">
        <f t="shared" si="26"/>
        <v>88000</v>
      </c>
    </row>
    <row r="1671" spans="1:10" x14ac:dyDescent="0.25">
      <c r="A1671" s="6">
        <v>1682</v>
      </c>
      <c r="B1671" t="s">
        <v>2566</v>
      </c>
      <c r="C1671" t="s">
        <v>1315</v>
      </c>
      <c r="D1671" t="s">
        <v>44</v>
      </c>
      <c r="E1671" t="str">
        <f>VLOOKUP(D1671,'Tên SP'!B$2:C$1070,2,0)</f>
        <v>BỘT GIẶT LIXE CHANH 5,5KG/03</v>
      </c>
      <c r="F1671" s="4">
        <v>140600</v>
      </c>
      <c r="G1671">
        <v>1</v>
      </c>
      <c r="H1671" s="4">
        <v>140600</v>
      </c>
      <c r="I1671" s="4">
        <v>-15000</v>
      </c>
      <c r="J1671" s="5">
        <f t="shared" si="26"/>
        <v>125600</v>
      </c>
    </row>
    <row r="1672" spans="1:10" x14ac:dyDescent="0.25">
      <c r="A1672" s="6">
        <v>1683</v>
      </c>
      <c r="B1672" t="s">
        <v>2567</v>
      </c>
      <c r="C1672" t="s">
        <v>1316</v>
      </c>
      <c r="D1672" t="s">
        <v>23</v>
      </c>
      <c r="E1672" t="str">
        <f>VLOOKUP(D1672,'Tên SP'!B$2:C$1070,2,0)</f>
        <v>NƯỚC XẢ VẢI LIXSOFT 3,6L/C04</v>
      </c>
      <c r="F1672" s="4">
        <v>81880</v>
      </c>
      <c r="G1672">
        <v>1</v>
      </c>
      <c r="H1672" s="4">
        <v>81880</v>
      </c>
      <c r="I1672" s="4">
        <v>-12282</v>
      </c>
      <c r="J1672" s="5">
        <f t="shared" si="26"/>
        <v>69598</v>
      </c>
    </row>
    <row r="1673" spans="1:10" x14ac:dyDescent="0.25">
      <c r="A1673" s="6">
        <v>1684</v>
      </c>
      <c r="B1673" t="s">
        <v>2568</v>
      </c>
      <c r="C1673" t="s">
        <v>1317</v>
      </c>
      <c r="D1673" t="s">
        <v>102</v>
      </c>
      <c r="E1673" t="str">
        <f>VLOOKUP(D1673,'Tên SP'!B$2:C$1070,2,0)</f>
        <v>NƯỚC GIẶT LIX HƯƠNG NƯỚC HOA 3,5KG/T04 TÚI</v>
      </c>
      <c r="F1673" s="4">
        <v>88000</v>
      </c>
      <c r="G1673">
        <v>1</v>
      </c>
      <c r="H1673" s="4">
        <v>88000</v>
      </c>
      <c r="I1673" s="4">
        <v>-13200</v>
      </c>
      <c r="J1673" s="5">
        <f t="shared" si="26"/>
        <v>74800</v>
      </c>
    </row>
    <row r="1674" spans="1:10" x14ac:dyDescent="0.25">
      <c r="A1674" s="6">
        <v>1685</v>
      </c>
      <c r="B1674" t="s">
        <v>2569</v>
      </c>
      <c r="C1674" t="s">
        <v>1318</v>
      </c>
      <c r="D1674" t="s">
        <v>102</v>
      </c>
      <c r="E1674" t="str">
        <f>VLOOKUP(D1674,'Tên SP'!B$2:C$1070,2,0)</f>
        <v>NƯỚC GIẶT LIX HƯƠNG NƯỚC HOA 3,5KG/T04 TÚI</v>
      </c>
      <c r="F1674" s="4">
        <v>88000</v>
      </c>
      <c r="G1674">
        <v>1</v>
      </c>
      <c r="H1674" s="4">
        <v>88000</v>
      </c>
      <c r="I1674" s="4">
        <v>0</v>
      </c>
      <c r="J1674" s="5">
        <f t="shared" si="26"/>
        <v>88000</v>
      </c>
    </row>
    <row r="1675" spans="1:10" x14ac:dyDescent="0.25">
      <c r="A1675" s="6">
        <v>1686</v>
      </c>
      <c r="B1675" t="s">
        <v>2570</v>
      </c>
      <c r="C1675" t="s">
        <v>1319</v>
      </c>
      <c r="D1675" t="s">
        <v>102</v>
      </c>
      <c r="E1675" t="str">
        <f>VLOOKUP(D1675,'Tên SP'!B$2:C$1070,2,0)</f>
        <v>NƯỚC GIẶT LIX HƯƠNG NƯỚC HOA 3,5KG/T04 TÚI</v>
      </c>
      <c r="F1675" s="4">
        <v>88000</v>
      </c>
      <c r="G1675">
        <v>1</v>
      </c>
      <c r="H1675" s="4">
        <v>88000</v>
      </c>
      <c r="I1675" s="4">
        <v>0</v>
      </c>
      <c r="J1675" s="5">
        <f t="shared" si="26"/>
        <v>88000</v>
      </c>
    </row>
    <row r="1676" spans="1:10" x14ac:dyDescent="0.25">
      <c r="A1676" s="6">
        <v>1687</v>
      </c>
      <c r="B1676" t="s">
        <v>2571</v>
      </c>
      <c r="C1676" t="s">
        <v>1320</v>
      </c>
      <c r="D1676" t="s">
        <v>85</v>
      </c>
      <c r="E1676" t="str">
        <f>VLOOKUP(D1676,'Tên SP'!B$2:C$1070,2,0)</f>
        <v>NƯỚC RỬA CHÉN SIÊU SẠCH TRÀ 3,6KG/C04</v>
      </c>
      <c r="F1676" s="4">
        <v>76600</v>
      </c>
      <c r="G1676">
        <v>1</v>
      </c>
      <c r="H1676" s="4">
        <v>76600</v>
      </c>
      <c r="I1676" s="4">
        <v>-11490</v>
      </c>
      <c r="J1676" s="5">
        <f t="shared" si="26"/>
        <v>65110</v>
      </c>
    </row>
    <row r="1677" spans="1:10" x14ac:dyDescent="0.25">
      <c r="A1677" s="6">
        <v>1688</v>
      </c>
      <c r="B1677" t="s">
        <v>2572</v>
      </c>
      <c r="C1677" t="s">
        <v>1321</v>
      </c>
      <c r="D1677" t="s">
        <v>102</v>
      </c>
      <c r="E1677" t="str">
        <f>VLOOKUP(D1677,'Tên SP'!B$2:C$1070,2,0)</f>
        <v>NƯỚC GIẶT LIX HƯƠNG NƯỚC HOA 3,5KG/T04 TÚI</v>
      </c>
      <c r="F1677" s="4">
        <v>88000</v>
      </c>
      <c r="G1677">
        <v>1</v>
      </c>
      <c r="H1677" s="4">
        <v>88000</v>
      </c>
      <c r="I1677" s="4">
        <v>-13200</v>
      </c>
      <c r="J1677" s="5">
        <f t="shared" si="26"/>
        <v>74800</v>
      </c>
    </row>
    <row r="1678" spans="1:10" x14ac:dyDescent="0.25">
      <c r="A1678" s="6">
        <v>1689</v>
      </c>
      <c r="B1678" t="s">
        <v>2573</v>
      </c>
      <c r="C1678" t="s">
        <v>1322</v>
      </c>
      <c r="D1678" t="s">
        <v>102</v>
      </c>
      <c r="E1678" t="str">
        <f>VLOOKUP(D1678,'Tên SP'!B$2:C$1070,2,0)</f>
        <v>NƯỚC GIẶT LIX HƯƠNG NƯỚC HOA 3,5KG/T04 TÚI</v>
      </c>
      <c r="F1678" s="4">
        <v>88000</v>
      </c>
      <c r="G1678">
        <v>1</v>
      </c>
      <c r="H1678" s="4">
        <v>88000</v>
      </c>
      <c r="I1678" s="4">
        <v>-3520</v>
      </c>
      <c r="J1678" s="5">
        <f t="shared" si="26"/>
        <v>84480</v>
      </c>
    </row>
    <row r="1679" spans="1:10" x14ac:dyDescent="0.25">
      <c r="A1679" s="6">
        <v>1690</v>
      </c>
      <c r="B1679" t="s">
        <v>2573</v>
      </c>
      <c r="C1679" t="s">
        <v>1322</v>
      </c>
      <c r="D1679" t="s">
        <v>102</v>
      </c>
      <c r="E1679" t="str">
        <f>VLOOKUP(D1679,'Tên SP'!B$2:C$1070,2,0)</f>
        <v>NƯỚC GIẶT LIX HƯƠNG NƯỚC HOA 3,5KG/T04 TÚI</v>
      </c>
      <c r="F1679" s="4">
        <v>88000</v>
      </c>
      <c r="G1679">
        <v>1</v>
      </c>
      <c r="H1679" s="4">
        <v>88000</v>
      </c>
      <c r="I1679" s="4">
        <v>-3520</v>
      </c>
      <c r="J1679" s="5">
        <f t="shared" si="26"/>
        <v>84480</v>
      </c>
    </row>
    <row r="1680" spans="1:10" x14ac:dyDescent="0.25">
      <c r="A1680" s="6">
        <v>1691</v>
      </c>
      <c r="B1680" t="s">
        <v>2574</v>
      </c>
      <c r="C1680" t="s">
        <v>1323</v>
      </c>
      <c r="D1680" t="s">
        <v>9</v>
      </c>
      <c r="E1680" t="str">
        <f>VLOOKUP(D1680,'Tên SP'!B$2:C$1070,2,0)</f>
        <v>NƯỚC GIẶT LIX ĐẬM ĐẶC 3,5KG/T04 TÚI</v>
      </c>
      <c r="F1680" s="4">
        <v>88000</v>
      </c>
      <c r="G1680">
        <v>1</v>
      </c>
      <c r="H1680" s="4">
        <v>88000</v>
      </c>
      <c r="I1680" s="4">
        <v>-13200</v>
      </c>
      <c r="J1680" s="5">
        <f t="shared" si="26"/>
        <v>74800</v>
      </c>
    </row>
    <row r="1681" spans="1:10" x14ac:dyDescent="0.25">
      <c r="A1681" s="6">
        <v>1692</v>
      </c>
      <c r="B1681" t="s">
        <v>2575</v>
      </c>
      <c r="C1681" t="s">
        <v>1324</v>
      </c>
      <c r="D1681" t="s">
        <v>9</v>
      </c>
      <c r="E1681" t="str">
        <f>VLOOKUP(D1681,'Tên SP'!B$2:C$1070,2,0)</f>
        <v>NƯỚC GIẶT LIX ĐẬM ĐẶC 3,5KG/T04 TÚI</v>
      </c>
      <c r="F1681" s="4">
        <v>88000</v>
      </c>
      <c r="G1681">
        <v>1</v>
      </c>
      <c r="H1681" s="4">
        <v>88000</v>
      </c>
      <c r="I1681" s="4">
        <v>-13200</v>
      </c>
      <c r="J1681" s="5">
        <f t="shared" si="26"/>
        <v>74800</v>
      </c>
    </row>
    <row r="1682" spans="1:10" x14ac:dyDescent="0.25">
      <c r="A1682" s="6">
        <v>1693</v>
      </c>
      <c r="B1682" t="s">
        <v>2576</v>
      </c>
      <c r="C1682" t="s">
        <v>1325</v>
      </c>
      <c r="D1682" t="s">
        <v>9</v>
      </c>
      <c r="E1682" t="str">
        <f>VLOOKUP(D1682,'Tên SP'!B$2:C$1070,2,0)</f>
        <v>NƯỚC GIẶT LIX ĐẬM ĐẶC 3,5KG/T04 TÚI</v>
      </c>
      <c r="F1682" s="4">
        <v>88000</v>
      </c>
      <c r="G1682">
        <v>1</v>
      </c>
      <c r="H1682" s="4">
        <v>88000</v>
      </c>
      <c r="I1682" s="4">
        <v>0</v>
      </c>
      <c r="J1682" s="5">
        <f t="shared" si="26"/>
        <v>88000</v>
      </c>
    </row>
    <row r="1683" spans="1:10" x14ac:dyDescent="0.25">
      <c r="A1683" s="6">
        <v>1694</v>
      </c>
      <c r="B1683" t="s">
        <v>2577</v>
      </c>
      <c r="C1683" t="s">
        <v>1326</v>
      </c>
      <c r="D1683" t="s">
        <v>102</v>
      </c>
      <c r="E1683" t="str">
        <f>VLOOKUP(D1683,'Tên SP'!B$2:C$1070,2,0)</f>
        <v>NƯỚC GIẶT LIX HƯƠNG NƯỚC HOA 3,5KG/T04 TÚI</v>
      </c>
      <c r="F1683" s="4">
        <v>102300</v>
      </c>
      <c r="G1683">
        <v>1</v>
      </c>
      <c r="H1683" s="4">
        <v>102300</v>
      </c>
      <c r="I1683" s="4">
        <v>-15000</v>
      </c>
      <c r="J1683" s="5">
        <f t="shared" si="26"/>
        <v>87300</v>
      </c>
    </row>
    <row r="1684" spans="1:10" x14ac:dyDescent="0.25">
      <c r="A1684" s="6">
        <v>1695</v>
      </c>
      <c r="B1684" t="s">
        <v>2578</v>
      </c>
      <c r="C1684" t="s">
        <v>1327</v>
      </c>
      <c r="D1684" t="s">
        <v>9</v>
      </c>
      <c r="E1684" t="str">
        <f>VLOOKUP(D1684,'Tên SP'!B$2:C$1070,2,0)</f>
        <v>NƯỚC GIẶT LIX ĐẬM ĐẶC 3,5KG/T04 TÚI</v>
      </c>
      <c r="F1684" s="4">
        <v>88000</v>
      </c>
      <c r="G1684">
        <v>1</v>
      </c>
      <c r="H1684" s="4">
        <v>88000</v>
      </c>
      <c r="I1684" s="4">
        <v>-13200</v>
      </c>
      <c r="J1684" s="5">
        <f t="shared" si="26"/>
        <v>74800</v>
      </c>
    </row>
    <row r="1685" spans="1:10" x14ac:dyDescent="0.25">
      <c r="A1685" s="6">
        <v>1696</v>
      </c>
      <c r="B1685" t="s">
        <v>2579</v>
      </c>
      <c r="C1685" t="s">
        <v>1328</v>
      </c>
      <c r="D1685" t="s">
        <v>9</v>
      </c>
      <c r="E1685" t="str">
        <f>VLOOKUP(D1685,'Tên SP'!B$2:C$1070,2,0)</f>
        <v>NƯỚC GIẶT LIX ĐẬM ĐẶC 3,5KG/T04 TÚI</v>
      </c>
      <c r="F1685" s="4">
        <v>88000</v>
      </c>
      <c r="G1685">
        <v>1</v>
      </c>
      <c r="H1685" s="4">
        <v>88000</v>
      </c>
      <c r="I1685" s="4">
        <v>0</v>
      </c>
      <c r="J1685" s="5">
        <f t="shared" si="26"/>
        <v>88000</v>
      </c>
    </row>
    <row r="1686" spans="1:10" x14ac:dyDescent="0.25">
      <c r="A1686" s="6">
        <v>1697</v>
      </c>
      <c r="B1686" t="s">
        <v>2580</v>
      </c>
      <c r="C1686" t="s">
        <v>1329</v>
      </c>
      <c r="D1686" t="s">
        <v>38</v>
      </c>
      <c r="E1686" t="str">
        <f>VLOOKUP(D1686,'Tên SP'!B$2:C$1070,2,0)</f>
        <v>BỘT GIẶT LIXE HƯƠNG NƯỚC HOA 5,5KG/03</v>
      </c>
      <c r="F1686" s="4">
        <v>129050</v>
      </c>
      <c r="G1686">
        <v>1</v>
      </c>
      <c r="H1686" s="4">
        <v>129050</v>
      </c>
      <c r="I1686" s="4">
        <v>0</v>
      </c>
      <c r="J1686" s="5">
        <f t="shared" si="26"/>
        <v>129050</v>
      </c>
    </row>
    <row r="1687" spans="1:10" x14ac:dyDescent="0.25">
      <c r="A1687" s="6">
        <v>1698</v>
      </c>
      <c r="B1687" t="s">
        <v>2581</v>
      </c>
      <c r="C1687" t="s">
        <v>1330</v>
      </c>
      <c r="D1687" t="s">
        <v>29</v>
      </c>
      <c r="E1687" t="str">
        <f>VLOOKUP(D1687,'Tên SP'!B$2:C$1070,2,0)</f>
        <v>BỘT GIẶT LIXE 9KG/02</v>
      </c>
      <c r="F1687" s="4">
        <v>212400</v>
      </c>
      <c r="G1687">
        <v>1</v>
      </c>
      <c r="H1687" s="4">
        <v>212400</v>
      </c>
      <c r="I1687" s="4">
        <v>-9025</v>
      </c>
      <c r="J1687" s="5">
        <f t="shared" si="26"/>
        <v>203375</v>
      </c>
    </row>
    <row r="1688" spans="1:10" x14ac:dyDescent="0.25">
      <c r="A1688" s="6">
        <v>1699</v>
      </c>
      <c r="B1688" t="s">
        <v>2581</v>
      </c>
      <c r="C1688" t="s">
        <v>1330</v>
      </c>
      <c r="D1688" t="s">
        <v>31</v>
      </c>
      <c r="E1688" t="str">
        <f>VLOOKUP(D1688,'Tên SP'!B$2:C$1070,2,0)</f>
        <v>BỘT GIẶT LIXE 5,5KG/03</v>
      </c>
      <c r="F1688" s="4">
        <v>140600</v>
      </c>
      <c r="G1688">
        <v>1</v>
      </c>
      <c r="H1688" s="4">
        <v>140600</v>
      </c>
      <c r="I1688" s="4">
        <v>-5975</v>
      </c>
      <c r="J1688" s="5">
        <f t="shared" si="26"/>
        <v>134625</v>
      </c>
    </row>
    <row r="1689" spans="1:10" x14ac:dyDescent="0.25">
      <c r="A1689" s="6">
        <v>1700</v>
      </c>
      <c r="B1689" t="s">
        <v>2581</v>
      </c>
      <c r="C1689" t="s">
        <v>1330</v>
      </c>
      <c r="D1689" t="s">
        <v>184</v>
      </c>
      <c r="E1689" t="str">
        <f>VLOOKUP(D1689,'Tên SP'!B$2:C$1070,2,0)</f>
        <v>GEL DIỆT KHUẨN TAY ON1 60ML/CH80</v>
      </c>
      <c r="F1689" s="4">
        <v>24500</v>
      </c>
      <c r="G1689">
        <v>1</v>
      </c>
      <c r="H1689" s="4">
        <v>24500</v>
      </c>
      <c r="I1689" s="4">
        <v>-24500</v>
      </c>
      <c r="J1689" s="5">
        <f t="shared" si="26"/>
        <v>0</v>
      </c>
    </row>
    <row r="1690" spans="1:10" x14ac:dyDescent="0.25">
      <c r="A1690" s="6">
        <v>1701</v>
      </c>
      <c r="B1690" t="s">
        <v>2582</v>
      </c>
      <c r="C1690" t="s">
        <v>1331</v>
      </c>
      <c r="D1690" t="s">
        <v>9</v>
      </c>
      <c r="E1690" t="str">
        <f>VLOOKUP(D1690,'Tên SP'!B$2:C$1070,2,0)</f>
        <v>NƯỚC GIẶT LIX ĐẬM ĐẶC 3,5KG/T04 TÚI</v>
      </c>
      <c r="F1690" s="4">
        <v>88000</v>
      </c>
      <c r="G1690">
        <v>1</v>
      </c>
      <c r="H1690" s="4">
        <v>88000</v>
      </c>
      <c r="I1690" s="4">
        <v>-3000</v>
      </c>
      <c r="J1690" s="5">
        <f t="shared" si="26"/>
        <v>85000</v>
      </c>
    </row>
    <row r="1691" spans="1:10" x14ac:dyDescent="0.25">
      <c r="A1691" s="6">
        <v>1702</v>
      </c>
      <c r="B1691" t="s">
        <v>2582</v>
      </c>
      <c r="C1691" t="s">
        <v>1331</v>
      </c>
      <c r="D1691" t="s">
        <v>9</v>
      </c>
      <c r="E1691" t="str">
        <f>VLOOKUP(D1691,'Tên SP'!B$2:C$1070,2,0)</f>
        <v>NƯỚC GIẶT LIX ĐẬM ĐẶC 3,5KG/T04 TÚI</v>
      </c>
      <c r="F1691" s="4">
        <v>88000</v>
      </c>
      <c r="G1691">
        <v>1</v>
      </c>
      <c r="H1691" s="4">
        <v>88000</v>
      </c>
      <c r="I1691" s="4">
        <v>-3000</v>
      </c>
      <c r="J1691" s="5">
        <f t="shared" si="26"/>
        <v>85000</v>
      </c>
    </row>
    <row r="1692" spans="1:10" x14ac:dyDescent="0.25">
      <c r="A1692" s="6">
        <v>1703</v>
      </c>
      <c r="B1692" t="s">
        <v>2582</v>
      </c>
      <c r="C1692" t="s">
        <v>1331</v>
      </c>
      <c r="D1692" t="s">
        <v>9</v>
      </c>
      <c r="E1692" t="str">
        <f>VLOOKUP(D1692,'Tên SP'!B$2:C$1070,2,0)</f>
        <v>NƯỚC GIẶT LIX ĐẬM ĐẶC 3,5KG/T04 TÚI</v>
      </c>
      <c r="F1692" s="4">
        <v>88000</v>
      </c>
      <c r="G1692">
        <v>1</v>
      </c>
      <c r="H1692" s="4">
        <v>88000</v>
      </c>
      <c r="I1692" s="4">
        <v>-3000</v>
      </c>
      <c r="J1692" s="5">
        <f t="shared" si="26"/>
        <v>85000</v>
      </c>
    </row>
    <row r="1693" spans="1:10" x14ac:dyDescent="0.25">
      <c r="A1693" s="6">
        <v>1704</v>
      </c>
      <c r="B1693" t="s">
        <v>2582</v>
      </c>
      <c r="C1693" t="s">
        <v>1331</v>
      </c>
      <c r="D1693" t="s">
        <v>9</v>
      </c>
      <c r="E1693" t="str">
        <f>VLOOKUP(D1693,'Tên SP'!B$2:C$1070,2,0)</f>
        <v>NƯỚC GIẶT LIX ĐẬM ĐẶC 3,5KG/T04 TÚI</v>
      </c>
      <c r="F1693" s="4">
        <v>88000</v>
      </c>
      <c r="G1693">
        <v>1</v>
      </c>
      <c r="H1693" s="4">
        <v>88000</v>
      </c>
      <c r="I1693" s="4">
        <v>-3000</v>
      </c>
      <c r="J1693" s="5">
        <f t="shared" si="26"/>
        <v>85000</v>
      </c>
    </row>
    <row r="1694" spans="1:10" x14ac:dyDescent="0.25">
      <c r="A1694" s="6">
        <v>1705</v>
      </c>
      <c r="B1694" t="s">
        <v>2582</v>
      </c>
      <c r="C1694" t="s">
        <v>1331</v>
      </c>
      <c r="D1694" t="s">
        <v>9</v>
      </c>
      <c r="E1694" t="str">
        <f>VLOOKUP(D1694,'Tên SP'!B$2:C$1070,2,0)</f>
        <v>NƯỚC GIẶT LIX ĐẬM ĐẶC 3,5KG/T04 TÚI</v>
      </c>
      <c r="F1694" s="4">
        <v>88000</v>
      </c>
      <c r="G1694">
        <v>1</v>
      </c>
      <c r="H1694" s="4">
        <v>88000</v>
      </c>
      <c r="I1694" s="4">
        <v>-3000</v>
      </c>
      <c r="J1694" s="5">
        <f t="shared" si="26"/>
        <v>85000</v>
      </c>
    </row>
    <row r="1695" spans="1:10" x14ac:dyDescent="0.25">
      <c r="A1695" s="6">
        <v>1706</v>
      </c>
      <c r="B1695" t="s">
        <v>2582</v>
      </c>
      <c r="C1695" t="s">
        <v>1331</v>
      </c>
      <c r="D1695" t="s">
        <v>184</v>
      </c>
      <c r="E1695" t="str">
        <f>VLOOKUP(D1695,'Tên SP'!B$2:C$1070,2,0)</f>
        <v>GEL DIỆT KHUẨN TAY ON1 60ML/CH80</v>
      </c>
      <c r="F1695" s="4">
        <v>24500</v>
      </c>
      <c r="G1695">
        <v>1</v>
      </c>
      <c r="H1695" s="4">
        <v>24500</v>
      </c>
      <c r="I1695" s="4">
        <v>-24500</v>
      </c>
      <c r="J1695" s="5">
        <f t="shared" si="26"/>
        <v>0</v>
      </c>
    </row>
    <row r="1696" spans="1:10" x14ac:dyDescent="0.25">
      <c r="A1696" s="6">
        <v>1707</v>
      </c>
      <c r="B1696" t="s">
        <v>2583</v>
      </c>
      <c r="C1696" t="s">
        <v>1332</v>
      </c>
      <c r="D1696" t="s">
        <v>9</v>
      </c>
      <c r="E1696" t="str">
        <f>VLOOKUP(D1696,'Tên SP'!B$2:C$1070,2,0)</f>
        <v>NƯỚC GIẶT LIX ĐẬM ĐẶC 3,5KG/T04 TÚI</v>
      </c>
      <c r="F1696" s="4">
        <v>88000</v>
      </c>
      <c r="G1696">
        <v>1</v>
      </c>
      <c r="H1696" s="4">
        <v>88000</v>
      </c>
      <c r="I1696" s="4">
        <v>-13200</v>
      </c>
      <c r="J1696" s="5">
        <f t="shared" si="26"/>
        <v>74800</v>
      </c>
    </row>
    <row r="1697" spans="1:10" x14ac:dyDescent="0.25">
      <c r="A1697" s="6">
        <v>1708</v>
      </c>
      <c r="B1697" t="s">
        <v>2584</v>
      </c>
      <c r="C1697" t="s">
        <v>1333</v>
      </c>
      <c r="D1697" t="s">
        <v>9</v>
      </c>
      <c r="E1697" t="str">
        <f>VLOOKUP(D1697,'Tên SP'!B$2:C$1070,2,0)</f>
        <v>NƯỚC GIẶT LIX ĐẬM ĐẶC 3,5KG/T04 TÚI</v>
      </c>
      <c r="F1697" s="4">
        <v>88000</v>
      </c>
      <c r="G1697">
        <v>1</v>
      </c>
      <c r="H1697" s="4">
        <v>88000</v>
      </c>
      <c r="I1697" s="4">
        <v>-13200</v>
      </c>
      <c r="J1697" s="5">
        <f t="shared" si="26"/>
        <v>74800</v>
      </c>
    </row>
    <row r="1698" spans="1:10" x14ac:dyDescent="0.25">
      <c r="A1698" s="6">
        <v>1709</v>
      </c>
      <c r="B1698" t="s">
        <v>2585</v>
      </c>
      <c r="C1698" t="s">
        <v>1334</v>
      </c>
      <c r="D1698" t="s">
        <v>28</v>
      </c>
      <c r="E1698" t="str">
        <f>VLOOKUP(D1698,'Tên SP'!B$2:C$1070,2,0)</f>
        <v>NƯỚC XẢ VẢI LIXSOFT HƯƠNG HOA HỒNG 3,6L/C04</v>
      </c>
      <c r="F1698" s="4">
        <v>81880</v>
      </c>
      <c r="G1698">
        <v>1</v>
      </c>
      <c r="H1698" s="4">
        <v>81880</v>
      </c>
      <c r="I1698" s="4">
        <v>-4512</v>
      </c>
      <c r="J1698" s="5">
        <f t="shared" si="26"/>
        <v>77368</v>
      </c>
    </row>
    <row r="1699" spans="1:10" x14ac:dyDescent="0.25">
      <c r="A1699" s="6">
        <v>1710</v>
      </c>
      <c r="B1699" t="s">
        <v>2585</v>
      </c>
      <c r="C1699" t="s">
        <v>1334</v>
      </c>
      <c r="D1699" t="s">
        <v>9</v>
      </c>
      <c r="E1699" t="str">
        <f>VLOOKUP(D1699,'Tên SP'!B$2:C$1070,2,0)</f>
        <v>NƯỚC GIẶT LIX ĐẬM ĐẶC 3,5KG/T04 TÚI</v>
      </c>
      <c r="F1699" s="4">
        <v>88000</v>
      </c>
      <c r="G1699">
        <v>1</v>
      </c>
      <c r="H1699" s="4">
        <v>88000</v>
      </c>
      <c r="I1699" s="4">
        <v>-4850</v>
      </c>
      <c r="J1699" s="5">
        <f t="shared" si="26"/>
        <v>83150</v>
      </c>
    </row>
    <row r="1700" spans="1:10" x14ac:dyDescent="0.25">
      <c r="A1700" s="6">
        <v>1711</v>
      </c>
      <c r="B1700" t="s">
        <v>2585</v>
      </c>
      <c r="C1700" t="s">
        <v>1334</v>
      </c>
      <c r="D1700" t="s">
        <v>102</v>
      </c>
      <c r="E1700" t="str">
        <f>VLOOKUP(D1700,'Tên SP'!B$2:C$1070,2,0)</f>
        <v>NƯỚC GIẶT LIX HƯƠNG NƯỚC HOA 3,5KG/T04 TÚI</v>
      </c>
      <c r="F1700" s="4">
        <v>102300</v>
      </c>
      <c r="G1700">
        <v>1</v>
      </c>
      <c r="H1700" s="4">
        <v>102300</v>
      </c>
      <c r="I1700" s="4">
        <v>-5638</v>
      </c>
      <c r="J1700" s="5">
        <f t="shared" si="26"/>
        <v>96662</v>
      </c>
    </row>
    <row r="1701" spans="1:10" x14ac:dyDescent="0.25">
      <c r="A1701" s="6">
        <v>1712</v>
      </c>
      <c r="B1701" t="s">
        <v>2585</v>
      </c>
      <c r="C1701" t="s">
        <v>1334</v>
      </c>
      <c r="D1701" t="s">
        <v>184</v>
      </c>
      <c r="E1701" t="str">
        <f>VLOOKUP(D1701,'Tên SP'!B$2:C$1070,2,0)</f>
        <v>GEL DIỆT KHUẨN TAY ON1 60ML/CH80</v>
      </c>
      <c r="F1701" s="4">
        <v>24500</v>
      </c>
      <c r="G1701">
        <v>1</v>
      </c>
      <c r="H1701" s="4">
        <v>24500</v>
      </c>
      <c r="I1701" s="4">
        <v>-24500</v>
      </c>
      <c r="J1701" s="5">
        <f t="shared" si="26"/>
        <v>0</v>
      </c>
    </row>
    <row r="1702" spans="1:10" x14ac:dyDescent="0.25">
      <c r="A1702" s="6">
        <v>1713</v>
      </c>
      <c r="B1702" t="s">
        <v>2586</v>
      </c>
      <c r="C1702" t="s">
        <v>1335</v>
      </c>
      <c r="D1702" t="s">
        <v>9</v>
      </c>
      <c r="E1702" t="str">
        <f>VLOOKUP(D1702,'Tên SP'!B$2:C$1070,2,0)</f>
        <v>NƯỚC GIẶT LIX ĐẬM ĐẶC 3,5KG/T04 TÚI</v>
      </c>
      <c r="F1702" s="4">
        <v>88000</v>
      </c>
      <c r="G1702">
        <v>1</v>
      </c>
      <c r="H1702" s="4">
        <v>88000</v>
      </c>
      <c r="I1702" s="4">
        <v>-13200</v>
      </c>
      <c r="J1702" s="5">
        <f t="shared" si="26"/>
        <v>74800</v>
      </c>
    </row>
    <row r="1703" spans="1:10" x14ac:dyDescent="0.25">
      <c r="A1703" s="6">
        <v>1714</v>
      </c>
      <c r="B1703" t="s">
        <v>2587</v>
      </c>
      <c r="C1703" t="s">
        <v>1336</v>
      </c>
      <c r="D1703" t="s">
        <v>9</v>
      </c>
      <c r="E1703" t="str">
        <f>VLOOKUP(D1703,'Tên SP'!B$2:C$1070,2,0)</f>
        <v>NƯỚC GIẶT LIX ĐẬM ĐẶC 3,5KG/T04 TÚI</v>
      </c>
      <c r="F1703" s="4">
        <v>88000</v>
      </c>
      <c r="G1703">
        <v>1</v>
      </c>
      <c r="H1703" s="4">
        <v>88000</v>
      </c>
      <c r="I1703" s="4">
        <v>-13200</v>
      </c>
      <c r="J1703" s="5">
        <f t="shared" si="26"/>
        <v>74800</v>
      </c>
    </row>
    <row r="1704" spans="1:10" x14ac:dyDescent="0.25">
      <c r="A1704" s="6">
        <v>1715</v>
      </c>
      <c r="B1704" t="s">
        <v>2588</v>
      </c>
      <c r="C1704" t="s">
        <v>1337</v>
      </c>
      <c r="D1704" t="s">
        <v>9</v>
      </c>
      <c r="E1704" t="str">
        <f>VLOOKUP(D1704,'Tên SP'!B$2:C$1070,2,0)</f>
        <v>NƯỚC GIẶT LIX ĐẬM ĐẶC 3,5KG/T04 TÚI</v>
      </c>
      <c r="F1704" s="4">
        <v>88000</v>
      </c>
      <c r="G1704">
        <v>1</v>
      </c>
      <c r="H1704" s="4">
        <v>88000</v>
      </c>
      <c r="I1704" s="4">
        <v>0</v>
      </c>
      <c r="J1704" s="5">
        <f t="shared" si="26"/>
        <v>88000</v>
      </c>
    </row>
    <row r="1705" spans="1:10" x14ac:dyDescent="0.25">
      <c r="A1705" s="6">
        <v>1716</v>
      </c>
      <c r="B1705" t="s">
        <v>2589</v>
      </c>
      <c r="C1705" t="s">
        <v>1338</v>
      </c>
      <c r="D1705" t="s">
        <v>42</v>
      </c>
      <c r="E1705" t="str">
        <f>VLOOKUP(D1705,'Tên SP'!B$2:C$1070,2,0)</f>
        <v>BỘT GIẶT LIXE HƯƠNG NƯỚC HOA 2,4KG/05</v>
      </c>
      <c r="F1705" s="4">
        <v>66300</v>
      </c>
      <c r="G1705">
        <v>1</v>
      </c>
      <c r="H1705" s="4">
        <v>66300</v>
      </c>
      <c r="I1705" s="4">
        <v>-9945</v>
      </c>
      <c r="J1705" s="5">
        <f t="shared" si="26"/>
        <v>56355</v>
      </c>
    </row>
    <row r="1706" spans="1:10" x14ac:dyDescent="0.25">
      <c r="A1706" s="6">
        <v>1717</v>
      </c>
      <c r="B1706" t="s">
        <v>2590</v>
      </c>
      <c r="C1706" t="s">
        <v>1339</v>
      </c>
      <c r="D1706" t="s">
        <v>38</v>
      </c>
      <c r="E1706" t="str">
        <f>VLOOKUP(D1706,'Tên SP'!B$2:C$1070,2,0)</f>
        <v>BỘT GIẶT LIXE HƯƠNG NƯỚC HOA 5,5KG/03</v>
      </c>
      <c r="F1706" s="4">
        <v>140600</v>
      </c>
      <c r="G1706">
        <v>1</v>
      </c>
      <c r="H1706" s="4">
        <v>140600</v>
      </c>
      <c r="I1706" s="4">
        <v>-42180</v>
      </c>
      <c r="J1706" s="5">
        <f t="shared" si="26"/>
        <v>98420</v>
      </c>
    </row>
    <row r="1707" spans="1:10" x14ac:dyDescent="0.25">
      <c r="A1707" s="6">
        <v>1718</v>
      </c>
      <c r="B1707" t="s">
        <v>2591</v>
      </c>
      <c r="C1707" t="s">
        <v>1340</v>
      </c>
      <c r="D1707" t="s">
        <v>54</v>
      </c>
      <c r="E1707" t="str">
        <f>VLOOKUP(D1707,'Tên SP'!B$2:C$1070,2,0)</f>
        <v>BỘT GIẶT LIX ĐẬM ĐẶC 800G/12</v>
      </c>
      <c r="F1707" s="4">
        <v>24200</v>
      </c>
      <c r="G1707">
        <v>1</v>
      </c>
      <c r="H1707" s="4">
        <v>24200</v>
      </c>
      <c r="I1707" s="4">
        <v>-4598</v>
      </c>
      <c r="J1707" s="5">
        <f t="shared" si="26"/>
        <v>19602</v>
      </c>
    </row>
    <row r="1708" spans="1:10" x14ac:dyDescent="0.25">
      <c r="A1708" s="6">
        <v>1719</v>
      </c>
      <c r="B1708" t="s">
        <v>2591</v>
      </c>
      <c r="C1708" t="s">
        <v>1340</v>
      </c>
      <c r="D1708" t="s">
        <v>54</v>
      </c>
      <c r="E1708" t="str">
        <f>VLOOKUP(D1708,'Tên SP'!B$2:C$1070,2,0)</f>
        <v>BỘT GIẶT LIX ĐẬM ĐẶC 800G/12</v>
      </c>
      <c r="F1708" s="4">
        <v>24200</v>
      </c>
      <c r="G1708">
        <v>1</v>
      </c>
      <c r="H1708" s="4">
        <v>24200</v>
      </c>
      <c r="I1708" s="4">
        <v>-4598</v>
      </c>
      <c r="J1708" s="5">
        <f t="shared" si="26"/>
        <v>19602</v>
      </c>
    </row>
    <row r="1709" spans="1:10" x14ac:dyDescent="0.25">
      <c r="A1709" s="6">
        <v>1720</v>
      </c>
      <c r="B1709" t="s">
        <v>2592</v>
      </c>
      <c r="C1709" t="s">
        <v>1341</v>
      </c>
      <c r="D1709" t="s">
        <v>38</v>
      </c>
      <c r="E1709" t="str">
        <f>VLOOKUP(D1709,'Tên SP'!B$2:C$1070,2,0)</f>
        <v>BỘT GIẶT LIXE HƯƠNG NƯỚC HOA 5,5KG/03</v>
      </c>
      <c r="F1709" s="4">
        <v>140600</v>
      </c>
      <c r="G1709">
        <v>1</v>
      </c>
      <c r="H1709" s="4">
        <v>140600</v>
      </c>
      <c r="I1709" s="4">
        <v>-42180</v>
      </c>
      <c r="J1709" s="5">
        <f t="shared" si="26"/>
        <v>98420</v>
      </c>
    </row>
    <row r="1710" spans="1:10" x14ac:dyDescent="0.25">
      <c r="A1710" s="6">
        <v>1721</v>
      </c>
      <c r="B1710" t="s">
        <v>2593</v>
      </c>
      <c r="C1710" t="s">
        <v>1342</v>
      </c>
      <c r="D1710" t="s">
        <v>9</v>
      </c>
      <c r="E1710" t="str">
        <f>VLOOKUP(D1710,'Tên SP'!B$2:C$1070,2,0)</f>
        <v>NƯỚC GIẶT LIX ĐẬM ĐẶC 3,5KG/T04 TÚI</v>
      </c>
      <c r="F1710" s="4">
        <v>88000</v>
      </c>
      <c r="G1710">
        <v>1</v>
      </c>
      <c r="H1710" s="4">
        <v>88000</v>
      </c>
      <c r="I1710" s="4">
        <v>-13200</v>
      </c>
      <c r="J1710" s="5">
        <f t="shared" si="26"/>
        <v>74800</v>
      </c>
    </row>
    <row r="1711" spans="1:10" x14ac:dyDescent="0.25">
      <c r="A1711" s="6">
        <v>1722</v>
      </c>
      <c r="B1711" t="s">
        <v>2594</v>
      </c>
      <c r="C1711" t="s">
        <v>1343</v>
      </c>
      <c r="D1711" t="s">
        <v>9</v>
      </c>
      <c r="E1711" t="str">
        <f>VLOOKUP(D1711,'Tên SP'!B$2:C$1070,2,0)</f>
        <v>NƯỚC GIẶT LIX ĐẬM ĐẶC 3,5KG/T04 TÚI</v>
      </c>
      <c r="F1711" s="4">
        <v>88000</v>
      </c>
      <c r="G1711">
        <v>1</v>
      </c>
      <c r="H1711" s="4">
        <v>88000</v>
      </c>
      <c r="I1711" s="4">
        <v>0</v>
      </c>
      <c r="J1711" s="5">
        <f t="shared" si="26"/>
        <v>88000</v>
      </c>
    </row>
    <row r="1712" spans="1:10" x14ac:dyDescent="0.25">
      <c r="A1712" s="6">
        <v>1723</v>
      </c>
      <c r="B1712" t="s">
        <v>2595</v>
      </c>
      <c r="C1712" t="s">
        <v>1344</v>
      </c>
      <c r="D1712" t="s">
        <v>9</v>
      </c>
      <c r="E1712" t="str">
        <f>VLOOKUP(D1712,'Tên SP'!B$2:C$1070,2,0)</f>
        <v>NƯỚC GIẶT LIX ĐẬM ĐẶC 3,5KG/T04 TÚI</v>
      </c>
      <c r="F1712" s="4">
        <v>88000</v>
      </c>
      <c r="G1712">
        <v>1</v>
      </c>
      <c r="H1712" s="4">
        <v>88000</v>
      </c>
      <c r="I1712" s="4">
        <v>0</v>
      </c>
      <c r="J1712" s="5">
        <f t="shared" si="26"/>
        <v>88000</v>
      </c>
    </row>
    <row r="1713" spans="1:10" x14ac:dyDescent="0.25">
      <c r="A1713" s="6">
        <v>1724</v>
      </c>
      <c r="B1713" t="s">
        <v>2596</v>
      </c>
      <c r="C1713" t="s">
        <v>1345</v>
      </c>
      <c r="D1713" t="s">
        <v>38</v>
      </c>
      <c r="E1713" t="str">
        <f>VLOOKUP(D1713,'Tên SP'!B$2:C$1070,2,0)</f>
        <v>BỘT GIẶT LIXE HƯƠNG NƯỚC HOA 5,5KG/03</v>
      </c>
      <c r="F1713" s="4">
        <v>140600</v>
      </c>
      <c r="G1713">
        <v>1</v>
      </c>
      <c r="H1713" s="4">
        <v>140600</v>
      </c>
      <c r="I1713" s="4">
        <v>-42180</v>
      </c>
      <c r="J1713" s="5">
        <f t="shared" si="26"/>
        <v>98420</v>
      </c>
    </row>
    <row r="1714" spans="1:10" x14ac:dyDescent="0.25">
      <c r="A1714" s="6">
        <v>1725</v>
      </c>
      <c r="B1714" t="s">
        <v>2597</v>
      </c>
      <c r="C1714" t="s">
        <v>1346</v>
      </c>
      <c r="D1714" t="s">
        <v>152</v>
      </c>
      <c r="E1714" t="str">
        <f>VLOOKUP(D1714,'Tên SP'!B$2:C$1070,2,0)</f>
        <v>NƯỚC GIẶT ON1 CHỐNG LEM MÀU FRESH SAKURA 3,5KG/T04 (TÚI)</v>
      </c>
      <c r="F1714" s="4">
        <v>146200</v>
      </c>
      <c r="G1714">
        <v>1</v>
      </c>
      <c r="H1714" s="4">
        <v>146200</v>
      </c>
      <c r="I1714" s="4">
        <v>-58480</v>
      </c>
      <c r="J1714" s="5">
        <f t="shared" si="26"/>
        <v>87720</v>
      </c>
    </row>
    <row r="1715" spans="1:10" x14ac:dyDescent="0.25">
      <c r="A1715" s="6">
        <v>1726</v>
      </c>
      <c r="B1715" t="s">
        <v>2598</v>
      </c>
      <c r="C1715" t="s">
        <v>1347</v>
      </c>
      <c r="D1715" t="s">
        <v>9</v>
      </c>
      <c r="E1715" t="str">
        <f>VLOOKUP(D1715,'Tên SP'!B$2:C$1070,2,0)</f>
        <v>NƯỚC GIẶT LIX ĐẬM ĐẶC 3,5KG/T04 TÚI</v>
      </c>
      <c r="F1715" s="4">
        <v>88000</v>
      </c>
      <c r="G1715">
        <v>1</v>
      </c>
      <c r="H1715" s="4">
        <v>88000</v>
      </c>
      <c r="I1715" s="4">
        <v>-13200</v>
      </c>
      <c r="J1715" s="5">
        <f t="shared" si="26"/>
        <v>74800</v>
      </c>
    </row>
    <row r="1716" spans="1:10" x14ac:dyDescent="0.25">
      <c r="A1716" s="6">
        <v>1727</v>
      </c>
      <c r="B1716" t="s">
        <v>2599</v>
      </c>
      <c r="C1716" t="s">
        <v>1348</v>
      </c>
      <c r="D1716" t="s">
        <v>9</v>
      </c>
      <c r="E1716" t="str">
        <f>VLOOKUP(D1716,'Tên SP'!B$2:C$1070,2,0)</f>
        <v>NƯỚC GIẶT LIX ĐẬM ĐẶC 3,5KG/T04 TÚI</v>
      </c>
      <c r="F1716" s="4">
        <v>88000</v>
      </c>
      <c r="G1716">
        <v>1</v>
      </c>
      <c r="H1716" s="4">
        <v>88000</v>
      </c>
      <c r="I1716" s="4">
        <v>-13200</v>
      </c>
      <c r="J1716" s="5">
        <f t="shared" si="26"/>
        <v>74800</v>
      </c>
    </row>
    <row r="1717" spans="1:10" x14ac:dyDescent="0.25">
      <c r="A1717" s="6">
        <v>1728</v>
      </c>
      <c r="B1717" t="s">
        <v>2600</v>
      </c>
      <c r="C1717" t="s">
        <v>1349</v>
      </c>
      <c r="D1717" t="s">
        <v>38</v>
      </c>
      <c r="E1717" t="str">
        <f>VLOOKUP(D1717,'Tên SP'!B$2:C$1070,2,0)</f>
        <v>BỘT GIẶT LIXE HƯƠNG NƯỚC HOA 5,5KG/03</v>
      </c>
      <c r="F1717" s="4">
        <v>140600</v>
      </c>
      <c r="G1717">
        <v>1</v>
      </c>
      <c r="H1717" s="4">
        <v>140600</v>
      </c>
      <c r="I1717" s="4">
        <v>-42180</v>
      </c>
      <c r="J1717" s="5">
        <f t="shared" si="26"/>
        <v>98420</v>
      </c>
    </row>
    <row r="1718" spans="1:10" x14ac:dyDescent="0.25">
      <c r="A1718" s="6">
        <v>1729</v>
      </c>
      <c r="B1718" t="s">
        <v>2601</v>
      </c>
      <c r="C1718" t="s">
        <v>1350</v>
      </c>
      <c r="D1718" t="s">
        <v>158</v>
      </c>
      <c r="E1718" t="str">
        <f>VLOOKUP(D1718,'Tên SP'!B$2:C$1070,2,0)</f>
        <v>NƯỚC GIẶT XẢ ON1 BAMBOO CHARCOAL 3,5KG/T04 (TÚI)</v>
      </c>
      <c r="F1718" s="4">
        <v>145500</v>
      </c>
      <c r="G1718">
        <v>1</v>
      </c>
      <c r="H1718" s="4">
        <v>145500</v>
      </c>
      <c r="I1718" s="4">
        <v>-64020</v>
      </c>
      <c r="J1718" s="5">
        <f t="shared" si="26"/>
        <v>81480</v>
      </c>
    </row>
    <row r="1719" spans="1:10" x14ac:dyDescent="0.25">
      <c r="A1719" s="6">
        <v>1730</v>
      </c>
      <c r="B1719" t="s">
        <v>2601</v>
      </c>
      <c r="C1719" t="s">
        <v>1350</v>
      </c>
      <c r="D1719" t="s">
        <v>54</v>
      </c>
      <c r="E1719" t="str">
        <f>VLOOKUP(D1719,'Tên SP'!B$2:C$1070,2,0)</f>
        <v>BỘT GIẶT LIX ĐẬM ĐẶC 800G/12</v>
      </c>
      <c r="F1719" s="4">
        <v>24200</v>
      </c>
      <c r="G1719">
        <v>1</v>
      </c>
      <c r="H1719" s="4">
        <v>24200</v>
      </c>
      <c r="I1719" s="4">
        <v>-968</v>
      </c>
      <c r="J1719" s="5">
        <f t="shared" ref="J1719:J1782" si="27">H1719+I1719</f>
        <v>23232</v>
      </c>
    </row>
    <row r="1720" spans="1:10" x14ac:dyDescent="0.25">
      <c r="A1720" s="6">
        <v>1731</v>
      </c>
      <c r="B1720" t="s">
        <v>2602</v>
      </c>
      <c r="C1720" t="s">
        <v>1351</v>
      </c>
      <c r="D1720" t="s">
        <v>152</v>
      </c>
      <c r="E1720" t="str">
        <f>VLOOKUP(D1720,'Tên SP'!B$2:C$1070,2,0)</f>
        <v>NƯỚC GIẶT ON1 CHỐNG LEM MÀU FRESH SAKURA 3,5KG/T04 (TÚI)</v>
      </c>
      <c r="F1720" s="4">
        <v>146200</v>
      </c>
      <c r="G1720">
        <v>1</v>
      </c>
      <c r="H1720" s="4">
        <v>146200</v>
      </c>
      <c r="I1720" s="4">
        <v>-58480</v>
      </c>
      <c r="J1720" s="5">
        <f t="shared" si="27"/>
        <v>87720</v>
      </c>
    </row>
    <row r="1721" spans="1:10" x14ac:dyDescent="0.25">
      <c r="A1721" s="6">
        <v>1732</v>
      </c>
      <c r="B1721" t="s">
        <v>2603</v>
      </c>
      <c r="C1721" t="s">
        <v>1352</v>
      </c>
      <c r="D1721" t="s">
        <v>102</v>
      </c>
      <c r="E1721" t="str">
        <f>VLOOKUP(D1721,'Tên SP'!B$2:C$1070,2,0)</f>
        <v>NƯỚC GIẶT LIX HƯƠNG NƯỚC HOA 3,5KG/T04 TÚI</v>
      </c>
      <c r="F1721" s="4">
        <v>102300</v>
      </c>
      <c r="G1721">
        <v>1</v>
      </c>
      <c r="H1721" s="4">
        <v>102300</v>
      </c>
      <c r="I1721" s="4">
        <v>0</v>
      </c>
      <c r="J1721" s="5">
        <f t="shared" si="27"/>
        <v>102300</v>
      </c>
    </row>
    <row r="1722" spans="1:10" x14ac:dyDescent="0.25">
      <c r="A1722" s="6">
        <v>1733</v>
      </c>
      <c r="B1722" t="s">
        <v>2604</v>
      </c>
      <c r="C1722" t="s">
        <v>1353</v>
      </c>
      <c r="D1722" t="s">
        <v>9</v>
      </c>
      <c r="E1722" t="str">
        <f>VLOOKUP(D1722,'Tên SP'!B$2:C$1070,2,0)</f>
        <v>NƯỚC GIẶT LIX ĐẬM ĐẶC 3,5KG/T04 TÚI</v>
      </c>
      <c r="F1722" s="4">
        <v>95100</v>
      </c>
      <c r="G1722">
        <v>1</v>
      </c>
      <c r="H1722" s="4">
        <v>95100</v>
      </c>
      <c r="I1722" s="4">
        <v>-14265</v>
      </c>
      <c r="J1722" s="5">
        <f t="shared" si="27"/>
        <v>80835</v>
      </c>
    </row>
    <row r="1723" spans="1:10" x14ac:dyDescent="0.25">
      <c r="A1723" s="6">
        <v>1734</v>
      </c>
      <c r="B1723" t="s">
        <v>2605</v>
      </c>
      <c r="C1723" t="s">
        <v>1354</v>
      </c>
      <c r="D1723" t="s">
        <v>198</v>
      </c>
      <c r="E1723" t="str">
        <f>VLOOKUP(D1723,'Tên SP'!B$2:C$1070,2,0)</f>
        <v>NƯỚC LAU BẾP ON1 500ML/CH20</v>
      </c>
      <c r="F1723" s="4">
        <v>43600</v>
      </c>
      <c r="G1723">
        <v>1</v>
      </c>
      <c r="H1723" s="4">
        <v>43600</v>
      </c>
      <c r="I1723" s="4">
        <v>-2146</v>
      </c>
      <c r="J1723" s="5">
        <f t="shared" si="27"/>
        <v>41454</v>
      </c>
    </row>
    <row r="1724" spans="1:10" x14ac:dyDescent="0.25">
      <c r="A1724" s="6">
        <v>1735</v>
      </c>
      <c r="B1724" t="s">
        <v>2605</v>
      </c>
      <c r="C1724" t="s">
        <v>1354</v>
      </c>
      <c r="D1724" t="s">
        <v>93</v>
      </c>
      <c r="E1724" t="str">
        <f>VLOOKUP(D1724,'Tên SP'!B$2:C$1070,2,0)</f>
        <v>NƯỚC LAU SÀN ĐUỔI CÔN TRÙNG LIX 3.6L/C04</v>
      </c>
      <c r="F1724" s="4">
        <v>82400</v>
      </c>
      <c r="G1724">
        <v>1</v>
      </c>
      <c r="H1724" s="4">
        <v>82400</v>
      </c>
      <c r="I1724" s="4">
        <v>-4055</v>
      </c>
      <c r="J1724" s="5">
        <f t="shared" si="27"/>
        <v>78345</v>
      </c>
    </row>
    <row r="1725" spans="1:10" x14ac:dyDescent="0.25">
      <c r="A1725" s="6">
        <v>1736</v>
      </c>
      <c r="B1725" t="s">
        <v>2605</v>
      </c>
      <c r="C1725" t="s">
        <v>1354</v>
      </c>
      <c r="D1725" t="s">
        <v>196</v>
      </c>
      <c r="E1725" t="str">
        <f>VLOOKUP(D1725,'Tên SP'!B$2:C$1070,2,0)</f>
        <v>NƯỚC LAU KÍNH ON1 500ML/CH20</v>
      </c>
      <c r="F1725" s="4">
        <v>43000</v>
      </c>
      <c r="G1725">
        <v>1</v>
      </c>
      <c r="H1725" s="4">
        <v>43000</v>
      </c>
      <c r="I1725" s="4">
        <v>-2116</v>
      </c>
      <c r="J1725" s="5">
        <f t="shared" si="27"/>
        <v>40884</v>
      </c>
    </row>
    <row r="1726" spans="1:10" x14ac:dyDescent="0.25">
      <c r="A1726" s="6">
        <v>1737</v>
      </c>
      <c r="B1726" t="s">
        <v>2605</v>
      </c>
      <c r="C1726" t="s">
        <v>1354</v>
      </c>
      <c r="D1726" t="s">
        <v>206</v>
      </c>
      <c r="E1726" t="str">
        <f>VLOOKUP(D1726,'Tên SP'!B$2:C$1070,2,0)</f>
        <v>NƯỚC GIẶT LIX MATIC HƯƠNG NƯỚC HOA 3,6KG/C04</v>
      </c>
      <c r="F1726" s="4">
        <v>135800</v>
      </c>
      <c r="G1726">
        <v>1</v>
      </c>
      <c r="H1726" s="4">
        <v>135800</v>
      </c>
      <c r="I1726" s="4">
        <v>-6683</v>
      </c>
      <c r="J1726" s="5">
        <f t="shared" si="27"/>
        <v>129117</v>
      </c>
    </row>
    <row r="1727" spans="1:10" x14ac:dyDescent="0.25">
      <c r="A1727" s="6">
        <v>1738</v>
      </c>
      <c r="B1727" t="s">
        <v>2605</v>
      </c>
      <c r="C1727" t="s">
        <v>1354</v>
      </c>
      <c r="D1727" t="s">
        <v>184</v>
      </c>
      <c r="E1727" t="str">
        <f>VLOOKUP(D1727,'Tên SP'!B$2:C$1070,2,0)</f>
        <v>GEL DIỆT KHUẨN TAY ON1 60ML/CH80</v>
      </c>
      <c r="F1727" s="4">
        <v>24500</v>
      </c>
      <c r="G1727">
        <v>1</v>
      </c>
      <c r="H1727" s="4">
        <v>24500</v>
      </c>
      <c r="I1727" s="4">
        <v>-24500</v>
      </c>
      <c r="J1727" s="5">
        <f t="shared" si="27"/>
        <v>0</v>
      </c>
    </row>
    <row r="1728" spans="1:10" x14ac:dyDescent="0.25">
      <c r="A1728" s="6">
        <v>1739</v>
      </c>
      <c r="B1728" t="s">
        <v>2606</v>
      </c>
      <c r="C1728" t="s">
        <v>1355</v>
      </c>
      <c r="D1728" t="s">
        <v>152</v>
      </c>
      <c r="E1728" t="str">
        <f>VLOOKUP(D1728,'Tên SP'!B$2:C$1070,2,0)</f>
        <v>NƯỚC GIẶT ON1 CHỐNG LEM MÀU FRESH SAKURA 3,5KG/T04 (TÚI)</v>
      </c>
      <c r="F1728" s="4">
        <v>146200</v>
      </c>
      <c r="G1728">
        <v>1</v>
      </c>
      <c r="H1728" s="4">
        <v>146200</v>
      </c>
      <c r="I1728" s="4">
        <v>-58480</v>
      </c>
      <c r="J1728" s="5">
        <f t="shared" si="27"/>
        <v>87720</v>
      </c>
    </row>
    <row r="1729" spans="1:10" x14ac:dyDescent="0.25">
      <c r="A1729" s="6">
        <v>1740</v>
      </c>
      <c r="B1729" t="s">
        <v>2607</v>
      </c>
      <c r="C1729" t="s">
        <v>1356</v>
      </c>
      <c r="D1729" t="s">
        <v>158</v>
      </c>
      <c r="E1729" t="str">
        <f>VLOOKUP(D1729,'Tên SP'!B$2:C$1070,2,0)</f>
        <v>NƯỚC GIẶT XẢ ON1 BAMBOO CHARCOAL 3,5KG/T04 (TÚI)</v>
      </c>
      <c r="F1729" s="4">
        <v>145500</v>
      </c>
      <c r="G1729">
        <v>1</v>
      </c>
      <c r="H1729" s="4">
        <v>145500</v>
      </c>
      <c r="I1729" s="4">
        <v>-58200</v>
      </c>
      <c r="J1729" s="5">
        <f t="shared" si="27"/>
        <v>87300</v>
      </c>
    </row>
    <row r="1730" spans="1:10" x14ac:dyDescent="0.25">
      <c r="A1730" s="6">
        <v>1741</v>
      </c>
      <c r="B1730" t="s">
        <v>2608</v>
      </c>
      <c r="C1730" t="s">
        <v>1357</v>
      </c>
      <c r="D1730" t="s">
        <v>83</v>
      </c>
      <c r="E1730" t="str">
        <f>VLOOKUP(D1730,'Tên SP'!B$2:C$1070,2,0)</f>
        <v>NƯỚC RỬA CHÉN SIÊU SẠCH TRÀ 1,5KG/T08- TÚI</v>
      </c>
      <c r="F1730" s="4">
        <v>38000</v>
      </c>
      <c r="G1730">
        <v>1</v>
      </c>
      <c r="H1730" s="4">
        <v>38000</v>
      </c>
      <c r="I1730" s="4">
        <v>-1900</v>
      </c>
      <c r="J1730" s="5">
        <f t="shared" si="27"/>
        <v>36100</v>
      </c>
    </row>
    <row r="1731" spans="1:10" x14ac:dyDescent="0.25">
      <c r="A1731" s="6">
        <v>1742</v>
      </c>
      <c r="B1731" t="s">
        <v>2608</v>
      </c>
      <c r="C1731" t="s">
        <v>1357</v>
      </c>
      <c r="D1731" t="s">
        <v>158</v>
      </c>
      <c r="E1731" t="str">
        <f>VLOOKUP(D1731,'Tên SP'!B$2:C$1070,2,0)</f>
        <v>NƯỚC GIẶT XẢ ON1 BAMBOO CHARCOAL 3,5KG/T04 (TÚI)</v>
      </c>
      <c r="F1731" s="4">
        <v>133500</v>
      </c>
      <c r="G1731">
        <v>1</v>
      </c>
      <c r="H1731" s="4">
        <v>133500</v>
      </c>
      <c r="I1731" s="4">
        <v>-56675</v>
      </c>
      <c r="J1731" s="5">
        <f t="shared" si="27"/>
        <v>76825</v>
      </c>
    </row>
    <row r="1732" spans="1:10" x14ac:dyDescent="0.25">
      <c r="A1732" s="6">
        <v>1743</v>
      </c>
      <c r="B1732" t="s">
        <v>2608</v>
      </c>
      <c r="C1732" t="s">
        <v>1357</v>
      </c>
      <c r="D1732" t="s">
        <v>158</v>
      </c>
      <c r="E1732" t="str">
        <f>VLOOKUP(D1732,'Tên SP'!B$2:C$1070,2,0)</f>
        <v>NƯỚC GIẶT XẢ ON1 BAMBOO CHARCOAL 3,5KG/T04 (TÚI)</v>
      </c>
      <c r="F1732" s="4">
        <v>133500</v>
      </c>
      <c r="G1732">
        <v>1</v>
      </c>
      <c r="H1732" s="4">
        <v>133500</v>
      </c>
      <c r="I1732" s="4">
        <v>-56675</v>
      </c>
      <c r="J1732" s="5">
        <f t="shared" si="27"/>
        <v>76825</v>
      </c>
    </row>
    <row r="1733" spans="1:10" x14ac:dyDescent="0.25">
      <c r="A1733" s="6">
        <v>1744</v>
      </c>
      <c r="B1733" t="s">
        <v>2609</v>
      </c>
      <c r="C1733" t="s">
        <v>1358</v>
      </c>
      <c r="D1733" t="s">
        <v>89</v>
      </c>
      <c r="E1733" t="str">
        <f>VLOOKUP(D1733,'Tên SP'!B$2:C$1070,2,0)</f>
        <v>NƯỚC RỬA CHÉN SIÊU SẠCH TRÀ 750G/CH12</v>
      </c>
      <c r="F1733" s="4">
        <v>18400</v>
      </c>
      <c r="G1733">
        <v>1</v>
      </c>
      <c r="H1733" s="4">
        <v>18400</v>
      </c>
      <c r="I1733" s="4">
        <v>-920</v>
      </c>
      <c r="J1733" s="5">
        <f t="shared" si="27"/>
        <v>17480</v>
      </c>
    </row>
    <row r="1734" spans="1:10" x14ac:dyDescent="0.25">
      <c r="A1734" s="6">
        <v>1745</v>
      </c>
      <c r="B1734" t="s">
        <v>2609</v>
      </c>
      <c r="C1734" t="s">
        <v>1358</v>
      </c>
      <c r="D1734" t="s">
        <v>89</v>
      </c>
      <c r="E1734" t="str">
        <f>VLOOKUP(D1734,'Tên SP'!B$2:C$1070,2,0)</f>
        <v>NƯỚC RỬA CHÉN SIÊU SẠCH TRÀ 750G/CH12</v>
      </c>
      <c r="F1734" s="4">
        <v>18400</v>
      </c>
      <c r="G1734">
        <v>1</v>
      </c>
      <c r="H1734" s="4">
        <v>18400</v>
      </c>
      <c r="I1734" s="4">
        <v>-920</v>
      </c>
      <c r="J1734" s="5">
        <f t="shared" si="27"/>
        <v>17480</v>
      </c>
    </row>
    <row r="1735" spans="1:10" x14ac:dyDescent="0.25">
      <c r="A1735" s="6">
        <v>1746</v>
      </c>
      <c r="B1735" t="s">
        <v>2609</v>
      </c>
      <c r="C1735" t="s">
        <v>1358</v>
      </c>
      <c r="D1735" t="s">
        <v>158</v>
      </c>
      <c r="E1735" t="str">
        <f>VLOOKUP(D1735,'Tên SP'!B$2:C$1070,2,0)</f>
        <v>NƯỚC GIẶT XẢ ON1 BAMBOO CHARCOAL 3,5KG/T04 (TÚI)</v>
      </c>
      <c r="F1735" s="4">
        <v>133500</v>
      </c>
      <c r="G1735">
        <v>1</v>
      </c>
      <c r="H1735" s="4">
        <v>133500</v>
      </c>
      <c r="I1735" s="4">
        <v>-56675</v>
      </c>
      <c r="J1735" s="5">
        <f t="shared" si="27"/>
        <v>76825</v>
      </c>
    </row>
    <row r="1736" spans="1:10" x14ac:dyDescent="0.25">
      <c r="A1736" s="6">
        <v>1747</v>
      </c>
      <c r="B1736" t="s">
        <v>2609</v>
      </c>
      <c r="C1736" t="s">
        <v>1358</v>
      </c>
      <c r="D1736" t="s">
        <v>158</v>
      </c>
      <c r="E1736" t="str">
        <f>VLOOKUP(D1736,'Tên SP'!B$2:C$1070,2,0)</f>
        <v>NƯỚC GIẶT XẢ ON1 BAMBOO CHARCOAL 3,5KG/T04 (TÚI)</v>
      </c>
      <c r="F1736" s="4">
        <v>133500</v>
      </c>
      <c r="G1736">
        <v>1</v>
      </c>
      <c r="H1736" s="4">
        <v>133500</v>
      </c>
      <c r="I1736" s="4">
        <v>-56675</v>
      </c>
      <c r="J1736" s="5">
        <f t="shared" si="27"/>
        <v>76825</v>
      </c>
    </row>
    <row r="1737" spans="1:10" x14ac:dyDescent="0.25">
      <c r="A1737" s="6">
        <v>1748</v>
      </c>
      <c r="B1737" t="s">
        <v>2610</v>
      </c>
      <c r="C1737" t="s">
        <v>1359</v>
      </c>
      <c r="D1737" t="s">
        <v>38</v>
      </c>
      <c r="E1737" t="str">
        <f>VLOOKUP(D1737,'Tên SP'!B$2:C$1070,2,0)</f>
        <v>BỘT GIẶT LIXE HƯƠNG NƯỚC HOA 5,5KG/03</v>
      </c>
      <c r="F1737" s="4">
        <v>140600</v>
      </c>
      <c r="G1737">
        <v>1</v>
      </c>
      <c r="H1737" s="4">
        <v>140600</v>
      </c>
      <c r="I1737" s="4">
        <v>-42180</v>
      </c>
      <c r="J1737" s="5">
        <f t="shared" si="27"/>
        <v>98420</v>
      </c>
    </row>
    <row r="1738" spans="1:10" x14ac:dyDescent="0.25">
      <c r="A1738" s="6">
        <v>1749</v>
      </c>
      <c r="B1738" t="s">
        <v>2611</v>
      </c>
      <c r="C1738" t="s">
        <v>1360</v>
      </c>
      <c r="D1738" t="s">
        <v>9</v>
      </c>
      <c r="E1738" t="str">
        <f>VLOOKUP(D1738,'Tên SP'!B$2:C$1070,2,0)</f>
        <v>NƯỚC GIẶT LIX ĐẬM ĐẶC 3,5KG/T04 TÚI</v>
      </c>
      <c r="F1738" s="4">
        <v>88000</v>
      </c>
      <c r="G1738">
        <v>1</v>
      </c>
      <c r="H1738" s="4">
        <v>88000</v>
      </c>
      <c r="I1738" s="4">
        <v>0</v>
      </c>
      <c r="J1738" s="5">
        <f t="shared" si="27"/>
        <v>88000</v>
      </c>
    </row>
    <row r="1739" spans="1:10" x14ac:dyDescent="0.25">
      <c r="A1739" s="6">
        <v>1750</v>
      </c>
      <c r="B1739" t="s">
        <v>2612</v>
      </c>
      <c r="C1739" t="s">
        <v>1361</v>
      </c>
      <c r="D1739" t="s">
        <v>9</v>
      </c>
      <c r="E1739" t="str">
        <f>VLOOKUP(D1739,'Tên SP'!B$2:C$1070,2,0)</f>
        <v>NƯỚC GIẶT LIX ĐẬM ĐẶC 3,5KG/T04 TÚI</v>
      </c>
      <c r="F1739" s="4">
        <v>88000</v>
      </c>
      <c r="G1739">
        <v>1</v>
      </c>
      <c r="H1739" s="4">
        <v>88000</v>
      </c>
      <c r="I1739" s="4">
        <v>0</v>
      </c>
      <c r="J1739" s="5">
        <f t="shared" si="27"/>
        <v>88000</v>
      </c>
    </row>
    <row r="1740" spans="1:10" x14ac:dyDescent="0.25">
      <c r="A1740" s="6">
        <v>1751</v>
      </c>
      <c r="B1740" t="s">
        <v>2613</v>
      </c>
      <c r="C1740" t="s">
        <v>1362</v>
      </c>
      <c r="D1740" t="s">
        <v>9</v>
      </c>
      <c r="E1740" t="str">
        <f>VLOOKUP(D1740,'Tên SP'!B$2:C$1070,2,0)</f>
        <v>NƯỚC GIẶT LIX ĐẬM ĐẶC 3,5KG/T04 TÚI</v>
      </c>
      <c r="F1740" s="4">
        <v>88000</v>
      </c>
      <c r="G1740">
        <v>1</v>
      </c>
      <c r="H1740" s="4">
        <v>88000</v>
      </c>
      <c r="I1740" s="4">
        <v>-13200</v>
      </c>
      <c r="J1740" s="5">
        <f t="shared" si="27"/>
        <v>74800</v>
      </c>
    </row>
    <row r="1741" spans="1:10" x14ac:dyDescent="0.25">
      <c r="A1741" s="6">
        <v>1752</v>
      </c>
      <c r="B1741" t="s">
        <v>2614</v>
      </c>
      <c r="C1741" t="s">
        <v>1363</v>
      </c>
      <c r="D1741" t="s">
        <v>9</v>
      </c>
      <c r="E1741" t="str">
        <f>VLOOKUP(D1741,'Tên SP'!B$2:C$1070,2,0)</f>
        <v>NƯỚC GIẶT LIX ĐẬM ĐẶC 3,5KG/T04 TÚI</v>
      </c>
      <c r="F1741" s="4">
        <v>88000</v>
      </c>
      <c r="G1741">
        <v>1</v>
      </c>
      <c r="H1741" s="4">
        <v>88000</v>
      </c>
      <c r="I1741" s="4">
        <v>0</v>
      </c>
      <c r="J1741" s="5">
        <f t="shared" si="27"/>
        <v>88000</v>
      </c>
    </row>
    <row r="1742" spans="1:10" x14ac:dyDescent="0.25">
      <c r="A1742" s="6">
        <v>1753</v>
      </c>
      <c r="B1742" t="s">
        <v>2615</v>
      </c>
      <c r="C1742" t="s">
        <v>1364</v>
      </c>
      <c r="D1742" t="s">
        <v>158</v>
      </c>
      <c r="E1742" t="str">
        <f>VLOOKUP(D1742,'Tên SP'!B$2:C$1070,2,0)</f>
        <v>NƯỚC GIẶT XẢ ON1 BAMBOO CHARCOAL 3,5KG/T04 (TÚI)</v>
      </c>
      <c r="F1742" s="4">
        <v>145500</v>
      </c>
      <c r="G1742">
        <v>1</v>
      </c>
      <c r="H1742" s="4">
        <v>145500</v>
      </c>
      <c r="I1742" s="4">
        <v>-58200</v>
      </c>
      <c r="J1742" s="5">
        <f t="shared" si="27"/>
        <v>87300</v>
      </c>
    </row>
    <row r="1743" spans="1:10" x14ac:dyDescent="0.25">
      <c r="A1743" s="6">
        <v>1754</v>
      </c>
      <c r="B1743" t="s">
        <v>2616</v>
      </c>
      <c r="C1743" t="s">
        <v>1365</v>
      </c>
      <c r="D1743" t="s">
        <v>9</v>
      </c>
      <c r="E1743" t="str">
        <f>VLOOKUP(D1743,'Tên SP'!B$2:C$1070,2,0)</f>
        <v>NƯỚC GIẶT LIX ĐẬM ĐẶC 3,5KG/T04 TÚI</v>
      </c>
      <c r="F1743" s="4">
        <v>88000</v>
      </c>
      <c r="G1743">
        <v>1</v>
      </c>
      <c r="H1743" s="4">
        <v>88000</v>
      </c>
      <c r="I1743" s="4">
        <v>-13200</v>
      </c>
      <c r="J1743" s="5">
        <f t="shared" si="27"/>
        <v>74800</v>
      </c>
    </row>
    <row r="1744" spans="1:10" x14ac:dyDescent="0.25">
      <c r="A1744" s="6">
        <v>1755</v>
      </c>
      <c r="B1744" t="s">
        <v>2617</v>
      </c>
      <c r="C1744" t="s">
        <v>1366</v>
      </c>
      <c r="D1744" t="s">
        <v>9</v>
      </c>
      <c r="E1744" t="str">
        <f>VLOOKUP(D1744,'Tên SP'!B$2:C$1070,2,0)</f>
        <v>NƯỚC GIẶT LIX ĐẬM ĐẶC 3,5KG/T04 TÚI</v>
      </c>
      <c r="F1744" s="4">
        <v>88000</v>
      </c>
      <c r="G1744">
        <v>1</v>
      </c>
      <c r="H1744" s="4">
        <v>88000</v>
      </c>
      <c r="I1744" s="4">
        <v>-13200</v>
      </c>
      <c r="J1744" s="5">
        <f t="shared" si="27"/>
        <v>74800</v>
      </c>
    </row>
    <row r="1745" spans="1:10" x14ac:dyDescent="0.25">
      <c r="A1745" s="6">
        <v>1756</v>
      </c>
      <c r="B1745" t="s">
        <v>2618</v>
      </c>
      <c r="C1745" t="s">
        <v>1367</v>
      </c>
      <c r="D1745" t="s">
        <v>9</v>
      </c>
      <c r="E1745" t="str">
        <f>VLOOKUP(D1745,'Tên SP'!B$2:C$1070,2,0)</f>
        <v>NƯỚC GIẶT LIX ĐẬM ĐẶC 3,5KG/T04 TÚI</v>
      </c>
      <c r="F1745" s="4">
        <v>88000</v>
      </c>
      <c r="G1745">
        <v>1</v>
      </c>
      <c r="H1745" s="4">
        <v>88000</v>
      </c>
      <c r="I1745" s="4">
        <v>0</v>
      </c>
      <c r="J1745" s="5">
        <f t="shared" si="27"/>
        <v>88000</v>
      </c>
    </row>
    <row r="1746" spans="1:10" x14ac:dyDescent="0.25">
      <c r="A1746" s="6">
        <v>1757</v>
      </c>
      <c r="B1746" t="s">
        <v>2619</v>
      </c>
      <c r="C1746" t="s">
        <v>1368</v>
      </c>
      <c r="D1746" t="s">
        <v>9</v>
      </c>
      <c r="E1746" t="str">
        <f>VLOOKUP(D1746,'Tên SP'!B$2:C$1070,2,0)</f>
        <v>NƯỚC GIẶT LIX ĐẬM ĐẶC 3,5KG/T04 TÚI</v>
      </c>
      <c r="F1746" s="4">
        <v>88000</v>
      </c>
      <c r="G1746">
        <v>1</v>
      </c>
      <c r="H1746" s="4">
        <v>88000</v>
      </c>
      <c r="I1746" s="4">
        <v>-13200</v>
      </c>
      <c r="J1746" s="5">
        <f t="shared" si="27"/>
        <v>74800</v>
      </c>
    </row>
    <row r="1747" spans="1:10" x14ac:dyDescent="0.25">
      <c r="A1747" s="6">
        <v>1758</v>
      </c>
      <c r="B1747" t="s">
        <v>2620</v>
      </c>
      <c r="C1747" t="s">
        <v>1369</v>
      </c>
      <c r="D1747" t="s">
        <v>31</v>
      </c>
      <c r="E1747" t="str">
        <f>VLOOKUP(D1747,'Tên SP'!B$2:C$1070,2,0)</f>
        <v>BỘT GIẶT LIXE 5,5KG/03</v>
      </c>
      <c r="F1747" s="4">
        <v>140600</v>
      </c>
      <c r="G1747">
        <v>1</v>
      </c>
      <c r="H1747" s="4">
        <v>140600</v>
      </c>
      <c r="I1747" s="4">
        <v>0</v>
      </c>
      <c r="J1747" s="5">
        <f t="shared" si="27"/>
        <v>140600</v>
      </c>
    </row>
    <row r="1748" spans="1:10" x14ac:dyDescent="0.25">
      <c r="A1748" s="6">
        <v>1759</v>
      </c>
      <c r="B1748" t="s">
        <v>2621</v>
      </c>
      <c r="C1748" t="s">
        <v>1370</v>
      </c>
      <c r="D1748" t="s">
        <v>9</v>
      </c>
      <c r="E1748" t="str">
        <f>VLOOKUP(D1748,'Tên SP'!B$2:C$1070,2,0)</f>
        <v>NƯỚC GIẶT LIX ĐẬM ĐẶC 3,5KG/T04 TÚI</v>
      </c>
      <c r="F1748" s="4">
        <v>88000</v>
      </c>
      <c r="G1748">
        <v>1</v>
      </c>
      <c r="H1748" s="4">
        <v>88000</v>
      </c>
      <c r="I1748" s="4">
        <v>-13200</v>
      </c>
      <c r="J1748" s="5">
        <f t="shared" si="27"/>
        <v>74800</v>
      </c>
    </row>
    <row r="1749" spans="1:10" x14ac:dyDescent="0.25">
      <c r="A1749" s="6">
        <v>1760</v>
      </c>
      <c r="B1749" t="s">
        <v>2622</v>
      </c>
      <c r="C1749" t="s">
        <v>1371</v>
      </c>
      <c r="D1749" t="s">
        <v>9</v>
      </c>
      <c r="E1749" t="str">
        <f>VLOOKUP(D1749,'Tên SP'!B$2:C$1070,2,0)</f>
        <v>NƯỚC GIẶT LIX ĐẬM ĐẶC 3,5KG/T04 TÚI</v>
      </c>
      <c r="F1749" s="4">
        <v>88000</v>
      </c>
      <c r="G1749">
        <v>1</v>
      </c>
      <c r="H1749" s="4">
        <v>88000</v>
      </c>
      <c r="I1749" s="4">
        <v>-13200</v>
      </c>
      <c r="J1749" s="5">
        <f t="shared" si="27"/>
        <v>74800</v>
      </c>
    </row>
    <row r="1750" spans="1:10" x14ac:dyDescent="0.25">
      <c r="A1750" s="6">
        <v>1761</v>
      </c>
      <c r="B1750" t="s">
        <v>2623</v>
      </c>
      <c r="C1750" t="s">
        <v>1372</v>
      </c>
      <c r="D1750" t="s">
        <v>9</v>
      </c>
      <c r="E1750" t="str">
        <f>VLOOKUP(D1750,'Tên SP'!B$2:C$1070,2,0)</f>
        <v>NƯỚC GIẶT LIX ĐẬM ĐẶC 3,5KG/T04 TÚI</v>
      </c>
      <c r="F1750" s="4">
        <v>88000</v>
      </c>
      <c r="G1750">
        <v>1</v>
      </c>
      <c r="H1750" s="4">
        <v>88000</v>
      </c>
      <c r="I1750" s="4">
        <v>-13200</v>
      </c>
      <c r="J1750" s="5">
        <f t="shared" si="27"/>
        <v>74800</v>
      </c>
    </row>
    <row r="1751" spans="1:10" x14ac:dyDescent="0.25">
      <c r="A1751" s="6">
        <v>1762</v>
      </c>
      <c r="B1751" t="s">
        <v>2624</v>
      </c>
      <c r="C1751" t="s">
        <v>1373</v>
      </c>
      <c r="D1751" t="s">
        <v>28</v>
      </c>
      <c r="E1751" t="str">
        <f>VLOOKUP(D1751,'Tên SP'!B$2:C$1070,2,0)</f>
        <v>NƯỚC XẢ VẢI LIXSOFT HƯƠNG HOA HỒNG 3,6L/C04</v>
      </c>
      <c r="F1751" s="4">
        <v>89700</v>
      </c>
      <c r="G1751">
        <v>1</v>
      </c>
      <c r="H1751" s="4">
        <v>89700</v>
      </c>
      <c r="I1751" s="4">
        <v>0</v>
      </c>
      <c r="J1751" s="5">
        <f t="shared" si="27"/>
        <v>89700</v>
      </c>
    </row>
    <row r="1752" spans="1:10" x14ac:dyDescent="0.25">
      <c r="A1752" s="6">
        <v>1763</v>
      </c>
      <c r="B1752" t="s">
        <v>2625</v>
      </c>
      <c r="C1752" t="s">
        <v>1374</v>
      </c>
      <c r="D1752" t="s">
        <v>9</v>
      </c>
      <c r="E1752" t="str">
        <f>VLOOKUP(D1752,'Tên SP'!B$2:C$1070,2,0)</f>
        <v>NƯỚC GIẶT LIX ĐẬM ĐẶC 3,5KG/T04 TÚI</v>
      </c>
      <c r="F1752" s="4">
        <v>88000</v>
      </c>
      <c r="G1752">
        <v>1</v>
      </c>
      <c r="H1752" s="4">
        <v>88000</v>
      </c>
      <c r="I1752" s="4">
        <v>-13200</v>
      </c>
      <c r="J1752" s="5">
        <f t="shared" si="27"/>
        <v>74800</v>
      </c>
    </row>
    <row r="1753" spans="1:10" x14ac:dyDescent="0.25">
      <c r="A1753" s="6">
        <v>1764</v>
      </c>
      <c r="B1753" t="s">
        <v>2626</v>
      </c>
      <c r="C1753" t="s">
        <v>1375</v>
      </c>
      <c r="D1753" t="s">
        <v>89</v>
      </c>
      <c r="E1753" t="str">
        <f>VLOOKUP(D1753,'Tên SP'!B$2:C$1070,2,0)</f>
        <v>NƯỚC RỬA CHÉN SIÊU SẠCH TRÀ 750G/CH12</v>
      </c>
      <c r="F1753" s="4">
        <v>18400</v>
      </c>
      <c r="G1753">
        <v>1</v>
      </c>
      <c r="H1753" s="4">
        <v>18400</v>
      </c>
      <c r="I1753" s="4">
        <v>-920</v>
      </c>
      <c r="J1753" s="5">
        <f t="shared" si="27"/>
        <v>17480</v>
      </c>
    </row>
    <row r="1754" spans="1:10" x14ac:dyDescent="0.25">
      <c r="A1754" s="6">
        <v>1765</v>
      </c>
      <c r="B1754" t="s">
        <v>2626</v>
      </c>
      <c r="C1754" t="s">
        <v>1375</v>
      </c>
      <c r="D1754" t="s">
        <v>152</v>
      </c>
      <c r="E1754" t="str">
        <f>VLOOKUP(D1754,'Tên SP'!B$2:C$1070,2,0)</f>
        <v>NƯỚC GIẶT ON1 CHỐNG LEM MÀU FRESH SAKURA 3,5KG/T04 (TÚI)</v>
      </c>
      <c r="F1754" s="4">
        <v>146200</v>
      </c>
      <c r="G1754">
        <v>1</v>
      </c>
      <c r="H1754" s="4">
        <v>146200</v>
      </c>
      <c r="I1754" s="4">
        <v>-57430</v>
      </c>
      <c r="J1754" s="5">
        <f t="shared" si="27"/>
        <v>88770</v>
      </c>
    </row>
    <row r="1755" spans="1:10" x14ac:dyDescent="0.25">
      <c r="A1755" s="6">
        <v>1766</v>
      </c>
      <c r="B1755" t="s">
        <v>2626</v>
      </c>
      <c r="C1755" t="s">
        <v>1375</v>
      </c>
      <c r="D1755" t="s">
        <v>158</v>
      </c>
      <c r="E1755" t="str">
        <f>VLOOKUP(D1755,'Tên SP'!B$2:C$1070,2,0)</f>
        <v>NƯỚC GIẶT XẢ ON1 BAMBOO CHARCOAL 3,5KG/T04 (TÚI)</v>
      </c>
      <c r="F1755" s="4">
        <v>145500</v>
      </c>
      <c r="G1755">
        <v>1</v>
      </c>
      <c r="H1755" s="4">
        <v>145500</v>
      </c>
      <c r="I1755" s="4">
        <v>-57155</v>
      </c>
      <c r="J1755" s="5">
        <f t="shared" si="27"/>
        <v>88345</v>
      </c>
    </row>
    <row r="1756" spans="1:10" x14ac:dyDescent="0.25">
      <c r="A1756" s="6">
        <v>1767</v>
      </c>
      <c r="B1756" t="s">
        <v>2627</v>
      </c>
      <c r="C1756" t="s">
        <v>1376</v>
      </c>
      <c r="D1756" t="s">
        <v>9</v>
      </c>
      <c r="E1756" t="str">
        <f>VLOOKUP(D1756,'Tên SP'!B$2:C$1070,2,0)</f>
        <v>NƯỚC GIẶT LIX ĐẬM ĐẶC 3,5KG/T04 TÚI</v>
      </c>
      <c r="F1756" s="4">
        <v>88000</v>
      </c>
      <c r="G1756">
        <v>1</v>
      </c>
      <c r="H1756" s="4">
        <v>88000</v>
      </c>
      <c r="I1756" s="4">
        <v>0</v>
      </c>
      <c r="J1756" s="5">
        <f t="shared" si="27"/>
        <v>88000</v>
      </c>
    </row>
    <row r="1757" spans="1:10" x14ac:dyDescent="0.25">
      <c r="A1757" s="6">
        <v>1768</v>
      </c>
      <c r="B1757" t="s">
        <v>2627</v>
      </c>
      <c r="C1757" t="s">
        <v>1376</v>
      </c>
      <c r="D1757" t="s">
        <v>108</v>
      </c>
      <c r="E1757" t="str">
        <f>VLOOKUP(D1757,'Tên SP'!B$2:C$1070,2,0)</f>
        <v>NƯỚC GIẶT LIX SIÊU SẠCH HOA ANH ĐÀO 3.5KG/C04</v>
      </c>
      <c r="F1757" s="4">
        <v>111500</v>
      </c>
      <c r="G1757">
        <v>1</v>
      </c>
      <c r="H1757" s="4">
        <v>111500</v>
      </c>
      <c r="I1757" s="4">
        <v>0</v>
      </c>
      <c r="J1757" s="5">
        <f t="shared" si="27"/>
        <v>111500</v>
      </c>
    </row>
    <row r="1758" spans="1:10" x14ac:dyDescent="0.25">
      <c r="A1758" s="6">
        <v>1769</v>
      </c>
      <c r="B1758" t="s">
        <v>2627</v>
      </c>
      <c r="C1758" t="s">
        <v>1376</v>
      </c>
      <c r="D1758" t="s">
        <v>184</v>
      </c>
      <c r="E1758" t="str">
        <f>VLOOKUP(D1758,'Tên SP'!B$2:C$1070,2,0)</f>
        <v>GEL DIỆT KHUẨN TAY ON1 60ML/CH80</v>
      </c>
      <c r="F1758" s="4">
        <v>24500</v>
      </c>
      <c r="G1758">
        <v>1</v>
      </c>
      <c r="H1758" s="4">
        <v>24500</v>
      </c>
      <c r="I1758" s="4">
        <v>-24500</v>
      </c>
      <c r="J1758" s="5">
        <f t="shared" si="27"/>
        <v>0</v>
      </c>
    </row>
    <row r="1759" spans="1:10" x14ac:dyDescent="0.25">
      <c r="A1759" s="6">
        <v>1770</v>
      </c>
      <c r="B1759" t="s">
        <v>2628</v>
      </c>
      <c r="C1759" t="s">
        <v>1377</v>
      </c>
      <c r="D1759" t="s">
        <v>9</v>
      </c>
      <c r="E1759" t="str">
        <f>VLOOKUP(D1759,'Tên SP'!B$2:C$1070,2,0)</f>
        <v>NƯỚC GIẶT LIX ĐẬM ĐẶC 3,5KG/T04 TÚI</v>
      </c>
      <c r="F1759" s="4">
        <v>88000</v>
      </c>
      <c r="G1759">
        <v>1</v>
      </c>
      <c r="H1759" s="4">
        <v>88000</v>
      </c>
      <c r="I1759" s="4">
        <v>-13200</v>
      </c>
      <c r="J1759" s="5">
        <f t="shared" si="27"/>
        <v>74800</v>
      </c>
    </row>
    <row r="1760" spans="1:10" x14ac:dyDescent="0.25">
      <c r="A1760" s="6">
        <v>1771</v>
      </c>
      <c r="B1760" t="s">
        <v>2629</v>
      </c>
      <c r="C1760" t="s">
        <v>1378</v>
      </c>
      <c r="D1760" t="s">
        <v>31</v>
      </c>
      <c r="E1760" t="str">
        <f>VLOOKUP(D1760,'Tên SP'!B$2:C$1070,2,0)</f>
        <v>BỘT GIẶT LIXE 5,5KG/03</v>
      </c>
      <c r="F1760" s="4">
        <v>127600</v>
      </c>
      <c r="G1760">
        <v>1</v>
      </c>
      <c r="H1760" s="4">
        <v>127600</v>
      </c>
      <c r="I1760" s="4">
        <v>0</v>
      </c>
      <c r="J1760" s="5">
        <f t="shared" si="27"/>
        <v>127600</v>
      </c>
    </row>
    <row r="1761" spans="1:10" x14ac:dyDescent="0.25">
      <c r="A1761" s="6">
        <v>1772</v>
      </c>
      <c r="B1761" t="s">
        <v>2630</v>
      </c>
      <c r="C1761" t="s">
        <v>1379</v>
      </c>
      <c r="D1761" t="s">
        <v>9</v>
      </c>
      <c r="E1761" t="str">
        <f>VLOOKUP(D1761,'Tên SP'!B$2:C$1070,2,0)</f>
        <v>NƯỚC GIẶT LIX ĐẬM ĐẶC 3,5KG/T04 TÚI</v>
      </c>
      <c r="F1761" s="4">
        <v>88000</v>
      </c>
      <c r="G1761">
        <v>1</v>
      </c>
      <c r="H1761" s="4">
        <v>88000</v>
      </c>
      <c r="I1761" s="4">
        <v>-13200</v>
      </c>
      <c r="J1761" s="5">
        <f t="shared" si="27"/>
        <v>74800</v>
      </c>
    </row>
    <row r="1762" spans="1:10" x14ac:dyDescent="0.25">
      <c r="A1762" s="6">
        <v>1773</v>
      </c>
      <c r="B1762" t="s">
        <v>2631</v>
      </c>
      <c r="C1762" t="s">
        <v>1380</v>
      </c>
      <c r="D1762" t="s">
        <v>9</v>
      </c>
      <c r="E1762" t="str">
        <f>VLOOKUP(D1762,'Tên SP'!B$2:C$1070,2,0)</f>
        <v>NƯỚC GIẶT LIX ĐẬM ĐẶC 3,5KG/T04 TÚI</v>
      </c>
      <c r="F1762" s="4">
        <v>88000</v>
      </c>
      <c r="G1762">
        <v>1</v>
      </c>
      <c r="H1762" s="4">
        <v>88000</v>
      </c>
      <c r="I1762" s="4">
        <v>-13200</v>
      </c>
      <c r="J1762" s="5">
        <f t="shared" si="27"/>
        <v>74800</v>
      </c>
    </row>
    <row r="1763" spans="1:10" x14ac:dyDescent="0.25">
      <c r="A1763" s="6">
        <v>1774</v>
      </c>
      <c r="B1763" t="s">
        <v>2632</v>
      </c>
      <c r="C1763" t="s">
        <v>1381</v>
      </c>
      <c r="D1763" t="s">
        <v>64</v>
      </c>
      <c r="E1763" t="str">
        <f>VLOOKUP(D1763,'Tên SP'!B$2:C$1070,2,0)</f>
        <v>BỘT GIẶT LIX DD HƯƠNG NƯỚC HOA 5,5KG/03</v>
      </c>
      <c r="F1763" s="4">
        <v>146100</v>
      </c>
      <c r="G1763">
        <v>1</v>
      </c>
      <c r="H1763" s="4">
        <v>146100</v>
      </c>
      <c r="I1763" s="4">
        <v>0</v>
      </c>
      <c r="J1763" s="5">
        <f t="shared" si="27"/>
        <v>146100</v>
      </c>
    </row>
    <row r="1764" spans="1:10" x14ac:dyDescent="0.25">
      <c r="A1764" s="6">
        <v>1775</v>
      </c>
      <c r="B1764" t="s">
        <v>2633</v>
      </c>
      <c r="C1764" t="s">
        <v>1382</v>
      </c>
      <c r="D1764" t="s">
        <v>102</v>
      </c>
      <c r="E1764" t="str">
        <f>VLOOKUP(D1764,'Tên SP'!B$2:C$1070,2,0)</f>
        <v>NƯỚC GIẶT LIX HƯƠNG NƯỚC HOA 3,5KG/T04 TÚI</v>
      </c>
      <c r="F1764" s="4">
        <v>92400</v>
      </c>
      <c r="G1764">
        <v>1</v>
      </c>
      <c r="H1764" s="4">
        <v>92400</v>
      </c>
      <c r="I1764" s="4">
        <v>-13860</v>
      </c>
      <c r="J1764" s="5">
        <f t="shared" si="27"/>
        <v>78540</v>
      </c>
    </row>
    <row r="1765" spans="1:10" x14ac:dyDescent="0.25">
      <c r="A1765" s="6">
        <v>1776</v>
      </c>
      <c r="B1765" t="s">
        <v>2634</v>
      </c>
      <c r="C1765" t="s">
        <v>1383</v>
      </c>
      <c r="D1765" t="s">
        <v>23</v>
      </c>
      <c r="E1765" t="str">
        <f>VLOOKUP(D1765,'Tên SP'!B$2:C$1070,2,0)</f>
        <v>NƯỚC XẢ VẢI LIXSOFT 3,6L/C04</v>
      </c>
      <c r="F1765" s="4">
        <v>81000</v>
      </c>
      <c r="G1765">
        <v>1</v>
      </c>
      <c r="H1765" s="4">
        <v>81000</v>
      </c>
      <c r="I1765" s="4">
        <v>-15036</v>
      </c>
      <c r="J1765" s="5">
        <f t="shared" si="27"/>
        <v>65964</v>
      </c>
    </row>
    <row r="1766" spans="1:10" x14ac:dyDescent="0.25">
      <c r="A1766" s="6">
        <v>1777</v>
      </c>
      <c r="B1766" t="s">
        <v>2634</v>
      </c>
      <c r="C1766" t="s">
        <v>1383</v>
      </c>
      <c r="D1766" t="s">
        <v>54</v>
      </c>
      <c r="E1766" t="str">
        <f>VLOOKUP(D1766,'Tên SP'!B$2:C$1070,2,0)</f>
        <v>BỘT GIẶT LIX ĐẬM ĐẶC 800G/12</v>
      </c>
      <c r="F1766" s="4">
        <v>22000</v>
      </c>
      <c r="G1766">
        <v>1</v>
      </c>
      <c r="H1766" s="4">
        <v>22000</v>
      </c>
      <c r="I1766" s="4">
        <v>-4084</v>
      </c>
      <c r="J1766" s="5">
        <f t="shared" si="27"/>
        <v>17916</v>
      </c>
    </row>
    <row r="1767" spans="1:10" x14ac:dyDescent="0.25">
      <c r="A1767" s="6">
        <v>1778</v>
      </c>
      <c r="B1767" t="s">
        <v>2635</v>
      </c>
      <c r="C1767" t="s">
        <v>1384</v>
      </c>
      <c r="D1767" t="s">
        <v>9</v>
      </c>
      <c r="E1767" t="str">
        <f>VLOOKUP(D1767,'Tên SP'!B$2:C$1070,2,0)</f>
        <v>NƯỚC GIẶT LIX ĐẬM ĐẶC 3,5KG/T04 TÚI</v>
      </c>
      <c r="F1767" s="4">
        <v>88000</v>
      </c>
      <c r="G1767">
        <v>1</v>
      </c>
      <c r="H1767" s="4">
        <v>88000</v>
      </c>
      <c r="I1767" s="4">
        <v>0</v>
      </c>
      <c r="J1767" s="5">
        <f t="shared" si="27"/>
        <v>88000</v>
      </c>
    </row>
    <row r="1768" spans="1:10" x14ac:dyDescent="0.25">
      <c r="A1768" s="6">
        <v>1779</v>
      </c>
      <c r="B1768" t="s">
        <v>2636</v>
      </c>
      <c r="C1768" t="s">
        <v>1385</v>
      </c>
      <c r="D1768" t="s">
        <v>23</v>
      </c>
      <c r="E1768" t="str">
        <f>VLOOKUP(D1768,'Tên SP'!B$2:C$1070,2,0)</f>
        <v>NƯỚC XẢ VẢI LIXSOFT 3,6L/C04</v>
      </c>
      <c r="F1768" s="4">
        <v>81000</v>
      </c>
      <c r="G1768">
        <v>1</v>
      </c>
      <c r="H1768" s="4">
        <v>81000</v>
      </c>
      <c r="I1768" s="4">
        <v>0</v>
      </c>
      <c r="J1768" s="5">
        <f t="shared" si="27"/>
        <v>81000</v>
      </c>
    </row>
    <row r="1769" spans="1:10" x14ac:dyDescent="0.25">
      <c r="A1769" s="6">
        <v>1780</v>
      </c>
      <c r="B1769" t="s">
        <v>2637</v>
      </c>
      <c r="C1769" t="s">
        <v>1386</v>
      </c>
      <c r="D1769" t="s">
        <v>9</v>
      </c>
      <c r="E1769" t="str">
        <f>VLOOKUP(D1769,'Tên SP'!B$2:C$1070,2,0)</f>
        <v>NƯỚC GIẶT LIX ĐẬM ĐẶC 3,5KG/T04 TÚI</v>
      </c>
      <c r="F1769" s="4">
        <v>88000</v>
      </c>
      <c r="G1769">
        <v>1</v>
      </c>
      <c r="H1769" s="4">
        <v>88000</v>
      </c>
      <c r="I1769" s="4">
        <v>0</v>
      </c>
      <c r="J1769" s="5">
        <f t="shared" si="27"/>
        <v>88000</v>
      </c>
    </row>
    <row r="1770" spans="1:10" x14ac:dyDescent="0.25">
      <c r="A1770" s="6">
        <v>1781</v>
      </c>
      <c r="B1770" t="s">
        <v>2638</v>
      </c>
      <c r="C1770" t="s">
        <v>1387</v>
      </c>
      <c r="D1770" t="s">
        <v>102</v>
      </c>
      <c r="E1770" t="str">
        <f>VLOOKUP(D1770,'Tên SP'!B$2:C$1070,2,0)</f>
        <v>NƯỚC GIẶT LIX HƯƠNG NƯỚC HOA 3,5KG/T04 TÚI</v>
      </c>
      <c r="F1770" s="4">
        <v>92400</v>
      </c>
      <c r="G1770">
        <v>1</v>
      </c>
      <c r="H1770" s="4">
        <v>92400</v>
      </c>
      <c r="I1770" s="4">
        <v>0</v>
      </c>
      <c r="J1770" s="5">
        <f t="shared" si="27"/>
        <v>92400</v>
      </c>
    </row>
    <row r="1771" spans="1:10" x14ac:dyDescent="0.25">
      <c r="A1771" s="6">
        <v>1782</v>
      </c>
      <c r="B1771" t="s">
        <v>2639</v>
      </c>
      <c r="C1771" t="s">
        <v>1388</v>
      </c>
      <c r="D1771" t="s">
        <v>100</v>
      </c>
      <c r="E1771" t="str">
        <f>VLOOKUP(D1771,'Tên SP'!B$2:C$1070,2,0)</f>
        <v>NƯỚC GIẶT LIX HƯƠNG NƯỚC HOA 3,6KG/C04</v>
      </c>
      <c r="F1771" s="4">
        <v>105600</v>
      </c>
      <c r="G1771">
        <v>1</v>
      </c>
      <c r="H1771" s="4">
        <v>105600</v>
      </c>
      <c r="I1771" s="4">
        <v>0</v>
      </c>
      <c r="J1771" s="5">
        <f t="shared" si="27"/>
        <v>105600</v>
      </c>
    </row>
    <row r="1772" spans="1:10" x14ac:dyDescent="0.25">
      <c r="A1772" s="6">
        <v>1783</v>
      </c>
      <c r="B1772" t="s">
        <v>2640</v>
      </c>
      <c r="C1772" t="s">
        <v>1389</v>
      </c>
      <c r="D1772" t="s">
        <v>102</v>
      </c>
      <c r="E1772" t="str">
        <f>VLOOKUP(D1772,'Tên SP'!B$2:C$1070,2,0)</f>
        <v>NƯỚC GIẶT LIX HƯƠNG NƯỚC HOA 3,5KG/T04 TÚI</v>
      </c>
      <c r="F1772" s="4">
        <v>92400</v>
      </c>
      <c r="G1772">
        <v>1</v>
      </c>
      <c r="H1772" s="4">
        <v>92400</v>
      </c>
      <c r="I1772" s="4">
        <v>-13860</v>
      </c>
      <c r="J1772" s="5">
        <f t="shared" si="27"/>
        <v>78540</v>
      </c>
    </row>
    <row r="1773" spans="1:10" x14ac:dyDescent="0.25">
      <c r="A1773" s="6">
        <v>1784</v>
      </c>
      <c r="B1773" t="s">
        <v>2641</v>
      </c>
      <c r="C1773" t="s">
        <v>1390</v>
      </c>
      <c r="D1773" t="s">
        <v>9</v>
      </c>
      <c r="E1773" t="str">
        <f>VLOOKUP(D1773,'Tên SP'!B$2:C$1070,2,0)</f>
        <v>NƯỚC GIẶT LIX ĐẬM ĐẶC 3,5KG/T04 TÚI</v>
      </c>
      <c r="F1773" s="4">
        <v>88000</v>
      </c>
      <c r="G1773">
        <v>1</v>
      </c>
      <c r="H1773" s="4">
        <v>88000</v>
      </c>
      <c r="I1773" s="4">
        <v>-13200</v>
      </c>
      <c r="J1773" s="5">
        <f t="shared" si="27"/>
        <v>74800</v>
      </c>
    </row>
    <row r="1774" spans="1:10" x14ac:dyDescent="0.25">
      <c r="A1774" s="6">
        <v>1785</v>
      </c>
      <c r="B1774" t="s">
        <v>2642</v>
      </c>
      <c r="C1774" t="s">
        <v>1391</v>
      </c>
      <c r="D1774" t="s">
        <v>104</v>
      </c>
      <c r="E1774" t="str">
        <f>VLOOKUP(D1774,'Tên SP'!B$2:C$1070,2,0)</f>
        <v>NƯỚC GIẶT LIX ĐẬM ĐẶC 2KG/C06</v>
      </c>
      <c r="F1774" s="4">
        <v>69000</v>
      </c>
      <c r="G1774">
        <v>1</v>
      </c>
      <c r="H1774" s="4">
        <v>69000</v>
      </c>
      <c r="I1774" s="4">
        <v>-10350</v>
      </c>
      <c r="J1774" s="5">
        <f t="shared" si="27"/>
        <v>58650</v>
      </c>
    </row>
    <row r="1775" spans="1:10" x14ac:dyDescent="0.25">
      <c r="A1775" s="6">
        <v>1786</v>
      </c>
      <c r="B1775" t="s">
        <v>2642</v>
      </c>
      <c r="C1775" t="s">
        <v>1392</v>
      </c>
      <c r="D1775" t="s">
        <v>9</v>
      </c>
      <c r="E1775" t="str">
        <f>VLOOKUP(D1775,'Tên SP'!B$2:C$1070,2,0)</f>
        <v>NƯỚC GIẶT LIX ĐẬM ĐẶC 3,5KG/T04 TÚI</v>
      </c>
      <c r="F1775" s="4">
        <v>88000</v>
      </c>
      <c r="G1775">
        <v>1</v>
      </c>
      <c r="H1775" s="4">
        <v>88000</v>
      </c>
      <c r="I1775" s="4">
        <v>0</v>
      </c>
      <c r="J1775" s="5">
        <f t="shared" si="27"/>
        <v>88000</v>
      </c>
    </row>
    <row r="1776" spans="1:10" x14ac:dyDescent="0.25">
      <c r="A1776" s="6">
        <v>1787</v>
      </c>
      <c r="B1776" t="s">
        <v>2643</v>
      </c>
      <c r="C1776" t="s">
        <v>1393</v>
      </c>
      <c r="D1776" t="s">
        <v>9</v>
      </c>
      <c r="E1776" t="str">
        <f>VLOOKUP(D1776,'Tên SP'!B$2:C$1070,2,0)</f>
        <v>NƯỚC GIẶT LIX ĐẬM ĐẶC 3,5KG/T04 TÚI</v>
      </c>
      <c r="F1776" s="4">
        <v>88000</v>
      </c>
      <c r="G1776">
        <v>1</v>
      </c>
      <c r="H1776" s="4">
        <v>88000</v>
      </c>
      <c r="I1776" s="4">
        <v>-13200</v>
      </c>
      <c r="J1776" s="5">
        <f t="shared" si="27"/>
        <v>74800</v>
      </c>
    </row>
    <row r="1777" spans="1:10" x14ac:dyDescent="0.25">
      <c r="A1777" s="6">
        <v>1788</v>
      </c>
      <c r="B1777" t="s">
        <v>2644</v>
      </c>
      <c r="C1777" t="s">
        <v>1394</v>
      </c>
      <c r="D1777" t="s">
        <v>9</v>
      </c>
      <c r="E1777" t="str">
        <f>VLOOKUP(D1777,'Tên SP'!B$2:C$1070,2,0)</f>
        <v>NƯỚC GIẶT LIX ĐẬM ĐẶC 3,5KG/T04 TÚI</v>
      </c>
      <c r="F1777" s="4">
        <v>88000</v>
      </c>
      <c r="G1777">
        <v>1</v>
      </c>
      <c r="H1777" s="4">
        <v>88000</v>
      </c>
      <c r="I1777" s="4">
        <v>0</v>
      </c>
      <c r="J1777" s="5">
        <f t="shared" si="27"/>
        <v>88000</v>
      </c>
    </row>
    <row r="1778" spans="1:10" x14ac:dyDescent="0.25">
      <c r="A1778" s="6">
        <v>1789</v>
      </c>
      <c r="B1778" t="s">
        <v>2645</v>
      </c>
      <c r="C1778" t="s">
        <v>1395</v>
      </c>
      <c r="D1778" t="s">
        <v>9</v>
      </c>
      <c r="E1778" t="str">
        <f>VLOOKUP(D1778,'Tên SP'!B$2:C$1070,2,0)</f>
        <v>NƯỚC GIẶT LIX ĐẬM ĐẶC 3,5KG/T04 TÚI</v>
      </c>
      <c r="F1778" s="4">
        <v>88000</v>
      </c>
      <c r="G1778">
        <v>1</v>
      </c>
      <c r="H1778" s="4">
        <v>88000</v>
      </c>
      <c r="I1778" s="4">
        <v>-13200</v>
      </c>
      <c r="J1778" s="5">
        <f t="shared" si="27"/>
        <v>74800</v>
      </c>
    </row>
    <row r="1779" spans="1:10" x14ac:dyDescent="0.25">
      <c r="A1779" s="6">
        <v>1790</v>
      </c>
      <c r="B1779" t="s">
        <v>2646</v>
      </c>
      <c r="C1779" t="s">
        <v>1396</v>
      </c>
      <c r="D1779" t="s">
        <v>42</v>
      </c>
      <c r="E1779" t="str">
        <f>VLOOKUP(D1779,'Tên SP'!B$2:C$1070,2,0)</f>
        <v>BỘT GIẶT LIXE HƯƠNG NƯỚC HOA 2,4KG/05</v>
      </c>
      <c r="F1779" s="4">
        <v>59160</v>
      </c>
      <c r="G1779">
        <v>1</v>
      </c>
      <c r="H1779" s="4">
        <v>59160</v>
      </c>
      <c r="I1779" s="4">
        <v>-8874</v>
      </c>
      <c r="J1779" s="5">
        <f t="shared" si="27"/>
        <v>50286</v>
      </c>
    </row>
    <row r="1780" spans="1:10" x14ac:dyDescent="0.25">
      <c r="A1780" s="6">
        <v>1791</v>
      </c>
      <c r="B1780" t="s">
        <v>2647</v>
      </c>
      <c r="C1780" t="s">
        <v>1397</v>
      </c>
      <c r="D1780" t="s">
        <v>9</v>
      </c>
      <c r="E1780" t="str">
        <f>VLOOKUP(D1780,'Tên SP'!B$2:C$1070,2,0)</f>
        <v>NƯỚC GIẶT LIX ĐẬM ĐẶC 3,5KG/T04 TÚI</v>
      </c>
      <c r="F1780" s="4">
        <v>88000</v>
      </c>
      <c r="G1780">
        <v>1</v>
      </c>
      <c r="H1780" s="4">
        <v>88000</v>
      </c>
      <c r="I1780" s="4">
        <v>-13200</v>
      </c>
      <c r="J1780" s="5">
        <f t="shared" si="27"/>
        <v>74800</v>
      </c>
    </row>
    <row r="1781" spans="1:10" x14ac:dyDescent="0.25">
      <c r="A1781" s="6">
        <v>1792</v>
      </c>
      <c r="B1781" t="s">
        <v>2648</v>
      </c>
      <c r="C1781" t="s">
        <v>1398</v>
      </c>
      <c r="D1781" t="s">
        <v>9</v>
      </c>
      <c r="E1781" t="str">
        <f>VLOOKUP(D1781,'Tên SP'!B$2:C$1070,2,0)</f>
        <v>NƯỚC GIẶT LIX ĐẬM ĐẶC 3,5KG/T04 TÚI</v>
      </c>
      <c r="F1781" s="4">
        <v>88000</v>
      </c>
      <c r="G1781">
        <v>1</v>
      </c>
      <c r="H1781" s="4">
        <v>88000</v>
      </c>
      <c r="I1781" s="4">
        <v>0</v>
      </c>
      <c r="J1781" s="5">
        <f t="shared" si="27"/>
        <v>88000</v>
      </c>
    </row>
    <row r="1782" spans="1:10" x14ac:dyDescent="0.25">
      <c r="A1782" s="6">
        <v>1793</v>
      </c>
      <c r="B1782" t="s">
        <v>2649</v>
      </c>
      <c r="C1782" t="s">
        <v>1399</v>
      </c>
      <c r="D1782" t="s">
        <v>42</v>
      </c>
      <c r="E1782" t="str">
        <f>VLOOKUP(D1782,'Tên SP'!B$2:C$1070,2,0)</f>
        <v>BỘT GIẶT LIXE HƯƠNG NƯỚC HOA 2,4KG/05</v>
      </c>
      <c r="F1782" s="4">
        <v>59160</v>
      </c>
      <c r="G1782">
        <v>1</v>
      </c>
      <c r="H1782" s="4">
        <v>59160</v>
      </c>
      <c r="I1782" s="4">
        <v>-8874</v>
      </c>
      <c r="J1782" s="5">
        <f t="shared" si="27"/>
        <v>50286</v>
      </c>
    </row>
    <row r="1783" spans="1:10" x14ac:dyDescent="0.25">
      <c r="A1783" s="6">
        <v>1794</v>
      </c>
      <c r="B1783" t="s">
        <v>2650</v>
      </c>
      <c r="C1783" t="s">
        <v>1400</v>
      </c>
      <c r="D1783" t="s">
        <v>42</v>
      </c>
      <c r="E1783" t="str">
        <f>VLOOKUP(D1783,'Tên SP'!B$2:C$1070,2,0)</f>
        <v>BỘT GIẶT LIXE HƯƠNG NƯỚC HOA 2,4KG/05</v>
      </c>
      <c r="F1783" s="4">
        <v>59900</v>
      </c>
      <c r="G1783">
        <v>1</v>
      </c>
      <c r="H1783" s="4">
        <v>59900</v>
      </c>
      <c r="I1783" s="4">
        <v>-2481</v>
      </c>
      <c r="J1783" s="5">
        <f t="shared" ref="J1783:J1846" si="28">H1783+I1783</f>
        <v>57419</v>
      </c>
    </row>
    <row r="1784" spans="1:10" x14ac:dyDescent="0.25">
      <c r="A1784" s="6">
        <v>1795</v>
      </c>
      <c r="B1784" t="s">
        <v>2650</v>
      </c>
      <c r="C1784" t="s">
        <v>1400</v>
      </c>
      <c r="D1784" t="s">
        <v>42</v>
      </c>
      <c r="E1784" t="str">
        <f>VLOOKUP(D1784,'Tên SP'!B$2:C$1070,2,0)</f>
        <v>BỘT GIẶT LIXE HƯƠNG NƯỚC HOA 2,4KG/05</v>
      </c>
      <c r="F1784" s="4">
        <v>59900</v>
      </c>
      <c r="G1784">
        <v>1</v>
      </c>
      <c r="H1784" s="4">
        <v>59900</v>
      </c>
      <c r="I1784" s="4">
        <v>-2482</v>
      </c>
      <c r="J1784" s="5">
        <f t="shared" si="28"/>
        <v>57418</v>
      </c>
    </row>
    <row r="1785" spans="1:10" x14ac:dyDescent="0.25">
      <c r="A1785" s="6">
        <v>1796</v>
      </c>
      <c r="B1785" t="s">
        <v>2650</v>
      </c>
      <c r="C1785" t="s">
        <v>1400</v>
      </c>
      <c r="D1785" t="s">
        <v>42</v>
      </c>
      <c r="E1785" t="str">
        <f>VLOOKUP(D1785,'Tên SP'!B$2:C$1070,2,0)</f>
        <v>BỘT GIẶT LIXE HƯƠNG NƯỚC HOA 2,4KG/05</v>
      </c>
      <c r="F1785" s="4">
        <v>59900</v>
      </c>
      <c r="G1785">
        <v>1</v>
      </c>
      <c r="H1785" s="4">
        <v>59900</v>
      </c>
      <c r="I1785" s="4">
        <v>-2481</v>
      </c>
      <c r="J1785" s="5">
        <f t="shared" si="28"/>
        <v>57419</v>
      </c>
    </row>
    <row r="1786" spans="1:10" x14ac:dyDescent="0.25">
      <c r="A1786" s="6">
        <v>1797</v>
      </c>
      <c r="B1786" t="s">
        <v>2650</v>
      </c>
      <c r="C1786" t="s">
        <v>1400</v>
      </c>
      <c r="D1786" t="s">
        <v>47</v>
      </c>
      <c r="E1786" t="str">
        <f>VLOOKUP(D1786,'Tên SP'!B$2:C$1070,2,0)</f>
        <v>BỘT GIẶT LIXE CHANH 2,4KG/05</v>
      </c>
      <c r="F1786" s="4">
        <v>60800</v>
      </c>
      <c r="G1786">
        <v>1</v>
      </c>
      <c r="H1786" s="4">
        <v>60800</v>
      </c>
      <c r="I1786" s="4">
        <v>-2519</v>
      </c>
      <c r="J1786" s="5">
        <f t="shared" si="28"/>
        <v>58281</v>
      </c>
    </row>
    <row r="1787" spans="1:10" x14ac:dyDescent="0.25">
      <c r="A1787" s="6">
        <v>1798</v>
      </c>
      <c r="B1787" t="s">
        <v>2650</v>
      </c>
      <c r="C1787" t="s">
        <v>1400</v>
      </c>
      <c r="D1787" t="s">
        <v>47</v>
      </c>
      <c r="E1787" t="str">
        <f>VLOOKUP(D1787,'Tên SP'!B$2:C$1070,2,0)</f>
        <v>BỘT GIẶT LIXE CHANH 2,4KG/05</v>
      </c>
      <c r="F1787" s="4">
        <v>60800</v>
      </c>
      <c r="G1787">
        <v>1</v>
      </c>
      <c r="H1787" s="4">
        <v>60800</v>
      </c>
      <c r="I1787" s="4">
        <v>-2519</v>
      </c>
      <c r="J1787" s="5">
        <f t="shared" si="28"/>
        <v>58281</v>
      </c>
    </row>
    <row r="1788" spans="1:10" x14ac:dyDescent="0.25">
      <c r="A1788" s="6">
        <v>1799</v>
      </c>
      <c r="B1788" t="s">
        <v>2650</v>
      </c>
      <c r="C1788" t="s">
        <v>1400</v>
      </c>
      <c r="D1788" t="s">
        <v>47</v>
      </c>
      <c r="E1788" t="str">
        <f>VLOOKUP(D1788,'Tên SP'!B$2:C$1070,2,0)</f>
        <v>BỘT GIẶT LIXE CHANH 2,4KG/05</v>
      </c>
      <c r="F1788" s="4">
        <v>60800</v>
      </c>
      <c r="G1788">
        <v>1</v>
      </c>
      <c r="H1788" s="4">
        <v>60800</v>
      </c>
      <c r="I1788" s="4">
        <v>-2518</v>
      </c>
      <c r="J1788" s="5">
        <f t="shared" si="28"/>
        <v>58282</v>
      </c>
    </row>
    <row r="1789" spans="1:10" x14ac:dyDescent="0.25">
      <c r="A1789" s="6">
        <v>1800</v>
      </c>
      <c r="B1789" t="s">
        <v>2650</v>
      </c>
      <c r="C1789" t="s">
        <v>1400</v>
      </c>
      <c r="D1789" t="s">
        <v>184</v>
      </c>
      <c r="E1789" t="str">
        <f>VLOOKUP(D1789,'Tên SP'!B$2:C$1070,2,0)</f>
        <v>GEL DIỆT KHUẨN TAY ON1 60ML/CH80</v>
      </c>
      <c r="F1789" s="4">
        <v>25000</v>
      </c>
      <c r="G1789">
        <v>1</v>
      </c>
      <c r="H1789" s="4">
        <v>25000</v>
      </c>
      <c r="I1789" s="4">
        <v>-25000</v>
      </c>
      <c r="J1789" s="5">
        <f t="shared" si="28"/>
        <v>0</v>
      </c>
    </row>
    <row r="1790" spans="1:10" x14ac:dyDescent="0.25">
      <c r="A1790" s="6">
        <v>1801</v>
      </c>
      <c r="B1790" t="s">
        <v>2651</v>
      </c>
      <c r="C1790" t="s">
        <v>1401</v>
      </c>
      <c r="D1790" t="s">
        <v>102</v>
      </c>
      <c r="E1790" t="str">
        <f>VLOOKUP(D1790,'Tên SP'!B$2:C$1070,2,0)</f>
        <v>NƯỚC GIẶT LIX HƯƠNG NƯỚC HOA 3,5KG/T04 TÚI</v>
      </c>
      <c r="F1790" s="4">
        <v>92400</v>
      </c>
      <c r="G1790">
        <v>1</v>
      </c>
      <c r="H1790" s="4">
        <v>92400</v>
      </c>
      <c r="I1790" s="4">
        <v>-13860</v>
      </c>
      <c r="J1790" s="5">
        <f t="shared" si="28"/>
        <v>78540</v>
      </c>
    </row>
    <row r="1791" spans="1:10" x14ac:dyDescent="0.25">
      <c r="A1791" s="6">
        <v>1802</v>
      </c>
      <c r="B1791" t="s">
        <v>2652</v>
      </c>
      <c r="C1791" t="s">
        <v>1402</v>
      </c>
      <c r="D1791" t="s">
        <v>97</v>
      </c>
      <c r="E1791" t="str">
        <f>VLOOKUP(D1791,'Tên SP'!B$2:C$1070,2,0)</f>
        <v>NƯỚC GIẶT LIX ĐẬM ĐẶC 3,6KG/C04</v>
      </c>
      <c r="F1791" s="4">
        <v>105600</v>
      </c>
      <c r="G1791">
        <v>1</v>
      </c>
      <c r="H1791" s="4">
        <v>105600</v>
      </c>
      <c r="I1791" s="4">
        <v>0</v>
      </c>
      <c r="J1791" s="5">
        <f t="shared" si="28"/>
        <v>105600</v>
      </c>
    </row>
    <row r="1792" spans="1:10" x14ac:dyDescent="0.25">
      <c r="A1792" s="6">
        <v>1803</v>
      </c>
      <c r="B1792" t="s">
        <v>2653</v>
      </c>
      <c r="C1792" t="s">
        <v>1403</v>
      </c>
      <c r="D1792" t="s">
        <v>102</v>
      </c>
      <c r="E1792" t="str">
        <f>VLOOKUP(D1792,'Tên SP'!B$2:C$1070,2,0)</f>
        <v>NƯỚC GIẶT LIX HƯƠNG NƯỚC HOA 3,5KG/T04 TÚI</v>
      </c>
      <c r="F1792" s="4">
        <v>92400</v>
      </c>
      <c r="G1792">
        <v>1</v>
      </c>
      <c r="H1792" s="4">
        <v>92400</v>
      </c>
      <c r="I1792" s="4">
        <v>-13860</v>
      </c>
      <c r="J1792" s="5">
        <f t="shared" si="28"/>
        <v>78540</v>
      </c>
    </row>
    <row r="1793" spans="1:10" x14ac:dyDescent="0.25">
      <c r="A1793" s="6">
        <v>1804</v>
      </c>
      <c r="B1793" t="s">
        <v>2654</v>
      </c>
      <c r="C1793" t="s">
        <v>1404</v>
      </c>
      <c r="D1793" t="s">
        <v>102</v>
      </c>
      <c r="E1793" t="str">
        <f>VLOOKUP(D1793,'Tên SP'!B$2:C$1070,2,0)</f>
        <v>NƯỚC GIẶT LIX HƯƠNG NƯỚC HOA 3,5KG/T04 TÚI</v>
      </c>
      <c r="F1793" s="4">
        <v>92400</v>
      </c>
      <c r="G1793">
        <v>1</v>
      </c>
      <c r="H1793" s="4">
        <v>92400</v>
      </c>
      <c r="I1793" s="4">
        <v>0</v>
      </c>
      <c r="J1793" s="5">
        <f t="shared" si="28"/>
        <v>92400</v>
      </c>
    </row>
    <row r="1794" spans="1:10" x14ac:dyDescent="0.25">
      <c r="A1794" s="6">
        <v>1805</v>
      </c>
      <c r="B1794" t="s">
        <v>2655</v>
      </c>
      <c r="C1794" t="s">
        <v>1405</v>
      </c>
      <c r="D1794" t="s">
        <v>9</v>
      </c>
      <c r="E1794" t="str">
        <f>VLOOKUP(D1794,'Tên SP'!B$2:C$1070,2,0)</f>
        <v>NƯỚC GIẶT LIX ĐẬM ĐẶC 3,5KG/T04 TÚI</v>
      </c>
      <c r="F1794" s="4">
        <v>88000</v>
      </c>
      <c r="G1794">
        <v>1</v>
      </c>
      <c r="H1794" s="4">
        <v>88000</v>
      </c>
      <c r="I1794" s="4">
        <v>0</v>
      </c>
      <c r="J1794" s="5">
        <f t="shared" si="28"/>
        <v>88000</v>
      </c>
    </row>
    <row r="1795" spans="1:10" x14ac:dyDescent="0.25">
      <c r="A1795" s="6">
        <v>1806</v>
      </c>
      <c r="B1795" t="s">
        <v>2656</v>
      </c>
      <c r="C1795" t="s">
        <v>1406</v>
      </c>
      <c r="D1795" t="s">
        <v>152</v>
      </c>
      <c r="E1795" t="str">
        <f>VLOOKUP(D1795,'Tên SP'!B$2:C$1070,2,0)</f>
        <v>NƯỚC GIẶT ON1 CHỐNG LEM MÀU FRESH SAKURA 3,5KG/T04 (TÚI)</v>
      </c>
      <c r="F1795" s="4">
        <v>132000</v>
      </c>
      <c r="G1795">
        <v>1</v>
      </c>
      <c r="H1795" s="4">
        <v>132000</v>
      </c>
      <c r="I1795" s="4">
        <v>-52800</v>
      </c>
      <c r="J1795" s="5">
        <f t="shared" si="28"/>
        <v>79200</v>
      </c>
    </row>
    <row r="1796" spans="1:10" x14ac:dyDescent="0.25">
      <c r="A1796" s="6">
        <v>1807</v>
      </c>
      <c r="B1796" t="s">
        <v>2657</v>
      </c>
      <c r="C1796" t="s">
        <v>1407</v>
      </c>
      <c r="D1796" t="s">
        <v>9</v>
      </c>
      <c r="E1796" t="str">
        <f>VLOOKUP(D1796,'Tên SP'!B$2:C$1070,2,0)</f>
        <v>NƯỚC GIẶT LIX ĐẬM ĐẶC 3,5KG/T04 TÚI</v>
      </c>
      <c r="F1796" s="4">
        <v>88000</v>
      </c>
      <c r="G1796">
        <v>1</v>
      </c>
      <c r="H1796" s="4">
        <v>88000</v>
      </c>
      <c r="I1796" s="4">
        <v>0</v>
      </c>
      <c r="J1796" s="5">
        <f t="shared" si="28"/>
        <v>88000</v>
      </c>
    </row>
    <row r="1797" spans="1:10" x14ac:dyDescent="0.25">
      <c r="A1797" s="6">
        <v>1808</v>
      </c>
      <c r="B1797" t="s">
        <v>2658</v>
      </c>
      <c r="C1797" t="s">
        <v>1408</v>
      </c>
      <c r="D1797" t="s">
        <v>102</v>
      </c>
      <c r="E1797" t="str">
        <f>VLOOKUP(D1797,'Tên SP'!B$2:C$1070,2,0)</f>
        <v>NƯỚC GIẶT LIX HƯƠNG NƯỚC HOA 3,5KG/T04 TÚI</v>
      </c>
      <c r="F1797" s="4">
        <v>92400</v>
      </c>
      <c r="G1797">
        <v>1</v>
      </c>
      <c r="H1797" s="4">
        <v>92400</v>
      </c>
      <c r="I1797" s="4">
        <v>-13860</v>
      </c>
      <c r="J1797" s="5">
        <f t="shared" si="28"/>
        <v>78540</v>
      </c>
    </row>
    <row r="1798" spans="1:10" x14ac:dyDescent="0.25">
      <c r="A1798" s="6">
        <v>1809</v>
      </c>
      <c r="B1798" t="s">
        <v>2659</v>
      </c>
      <c r="C1798" t="s">
        <v>1409</v>
      </c>
      <c r="D1798" t="s">
        <v>42</v>
      </c>
      <c r="E1798" t="str">
        <f>VLOOKUP(D1798,'Tên SP'!B$2:C$1070,2,0)</f>
        <v>BỘT GIẶT LIXE HƯƠNG NƯỚC HOA 2,4KG/05</v>
      </c>
      <c r="F1798" s="4">
        <v>59160</v>
      </c>
      <c r="G1798">
        <v>1</v>
      </c>
      <c r="H1798" s="4">
        <v>59160</v>
      </c>
      <c r="I1798" s="4">
        <v>-8874</v>
      </c>
      <c r="J1798" s="5">
        <f t="shared" si="28"/>
        <v>50286</v>
      </c>
    </row>
    <row r="1799" spans="1:10" x14ac:dyDescent="0.25">
      <c r="A1799" s="6">
        <v>1810</v>
      </c>
      <c r="B1799" t="s">
        <v>2660</v>
      </c>
      <c r="C1799" t="s">
        <v>1410</v>
      </c>
      <c r="D1799" t="s">
        <v>9</v>
      </c>
      <c r="E1799" t="str">
        <f>VLOOKUP(D1799,'Tên SP'!B$2:C$1070,2,0)</f>
        <v>NƯỚC GIẶT LIX ĐẬM ĐẶC 3,5KG/T04 TÚI</v>
      </c>
      <c r="F1799" s="4">
        <v>88000</v>
      </c>
      <c r="G1799">
        <v>1</v>
      </c>
      <c r="H1799" s="4">
        <v>88000</v>
      </c>
      <c r="I1799" s="4">
        <v>-13200</v>
      </c>
      <c r="J1799" s="5">
        <f t="shared" si="28"/>
        <v>74800</v>
      </c>
    </row>
    <row r="1800" spans="1:10" x14ac:dyDescent="0.25">
      <c r="A1800" s="6">
        <v>1811</v>
      </c>
      <c r="B1800" t="s">
        <v>2661</v>
      </c>
      <c r="C1800" t="s">
        <v>1411</v>
      </c>
      <c r="D1800" t="s">
        <v>9</v>
      </c>
      <c r="E1800" t="str">
        <f>VLOOKUP(D1800,'Tên SP'!B$2:C$1070,2,0)</f>
        <v>NƯỚC GIẶT LIX ĐẬM ĐẶC 3,5KG/T04 TÚI</v>
      </c>
      <c r="F1800" s="4">
        <v>88000</v>
      </c>
      <c r="G1800">
        <v>1</v>
      </c>
      <c r="H1800" s="4">
        <v>88000</v>
      </c>
      <c r="I1800" s="4">
        <v>-13200</v>
      </c>
      <c r="J1800" s="5">
        <f t="shared" si="28"/>
        <v>74800</v>
      </c>
    </row>
    <row r="1801" spans="1:10" x14ac:dyDescent="0.25">
      <c r="A1801" s="6">
        <v>1812</v>
      </c>
      <c r="B1801" t="s">
        <v>2662</v>
      </c>
      <c r="C1801" t="s">
        <v>1412</v>
      </c>
      <c r="D1801" t="s">
        <v>9</v>
      </c>
      <c r="E1801" t="str">
        <f>VLOOKUP(D1801,'Tên SP'!B$2:C$1070,2,0)</f>
        <v>NƯỚC GIẶT LIX ĐẬM ĐẶC 3,5KG/T04 TÚI</v>
      </c>
      <c r="F1801" s="4">
        <v>88000</v>
      </c>
      <c r="G1801">
        <v>1</v>
      </c>
      <c r="H1801" s="4">
        <v>88000</v>
      </c>
      <c r="I1801" s="4">
        <v>-13200</v>
      </c>
      <c r="J1801" s="5">
        <f t="shared" si="28"/>
        <v>74800</v>
      </c>
    </row>
    <row r="1802" spans="1:10" x14ac:dyDescent="0.25">
      <c r="A1802" s="6">
        <v>1813</v>
      </c>
      <c r="B1802" t="s">
        <v>2663</v>
      </c>
      <c r="C1802" t="s">
        <v>1413</v>
      </c>
      <c r="D1802" t="s">
        <v>71</v>
      </c>
      <c r="E1802" t="str">
        <f>VLOOKUP(D1802,'Tên SP'!B$2:C$1070,2,0)</f>
        <v>NƯỚC RỬA CHÉN SIÊU SẠCH CHANH 3,5KG/T04- TÚI</v>
      </c>
      <c r="F1802" s="4">
        <v>66000</v>
      </c>
      <c r="G1802">
        <v>1</v>
      </c>
      <c r="H1802" s="4">
        <v>66000</v>
      </c>
      <c r="I1802" s="4">
        <v>0</v>
      </c>
      <c r="J1802" s="5">
        <f t="shared" si="28"/>
        <v>66000</v>
      </c>
    </row>
    <row r="1803" spans="1:10" x14ac:dyDescent="0.25">
      <c r="A1803" s="6">
        <v>1814</v>
      </c>
      <c r="B1803" t="s">
        <v>2664</v>
      </c>
      <c r="C1803" t="s">
        <v>1414</v>
      </c>
      <c r="D1803" t="s">
        <v>42</v>
      </c>
      <c r="E1803" t="str">
        <f>VLOOKUP(D1803,'Tên SP'!B$2:C$1070,2,0)</f>
        <v>BỘT GIẶT LIXE HƯƠNG NƯỚC HOA 2,4KG/05</v>
      </c>
      <c r="F1803" s="4">
        <v>59900</v>
      </c>
      <c r="G1803">
        <v>1</v>
      </c>
      <c r="H1803" s="4">
        <v>59900</v>
      </c>
      <c r="I1803" s="4">
        <v>0</v>
      </c>
      <c r="J1803" s="5">
        <f t="shared" si="28"/>
        <v>59900</v>
      </c>
    </row>
    <row r="1804" spans="1:10" x14ac:dyDescent="0.25">
      <c r="A1804" s="6">
        <v>1815</v>
      </c>
      <c r="B1804" t="s">
        <v>2665</v>
      </c>
      <c r="C1804" t="s">
        <v>1415</v>
      </c>
      <c r="D1804" t="s">
        <v>54</v>
      </c>
      <c r="E1804" t="str">
        <f>VLOOKUP(D1804,'Tên SP'!B$2:C$1070,2,0)</f>
        <v>BỘT GIẶT LIX ĐẬM ĐẶC 800G/12</v>
      </c>
      <c r="F1804" s="4">
        <v>22000</v>
      </c>
      <c r="G1804">
        <v>1</v>
      </c>
      <c r="H1804" s="4">
        <v>22000</v>
      </c>
      <c r="I1804" s="4">
        <v>-880</v>
      </c>
      <c r="J1804" s="5">
        <f t="shared" si="28"/>
        <v>21120</v>
      </c>
    </row>
    <row r="1805" spans="1:10" x14ac:dyDescent="0.25">
      <c r="A1805" s="6">
        <v>1816</v>
      </c>
      <c r="B1805" t="s">
        <v>2665</v>
      </c>
      <c r="C1805" t="s">
        <v>1415</v>
      </c>
      <c r="D1805" t="s">
        <v>60</v>
      </c>
      <c r="E1805" t="str">
        <f>VLOOKUP(D1805,'Tên SP'!B$2:C$1070,2,0)</f>
        <v>BỘT GIẶT LIX DD CHỐNG LEM MÀU 800G/12</v>
      </c>
      <c r="F1805" s="4">
        <v>26000</v>
      </c>
      <c r="G1805">
        <v>1</v>
      </c>
      <c r="H1805" s="4">
        <v>26000</v>
      </c>
      <c r="I1805" s="4">
        <v>-1040</v>
      </c>
      <c r="J1805" s="5">
        <f t="shared" si="28"/>
        <v>24960</v>
      </c>
    </row>
    <row r="1806" spans="1:10" x14ac:dyDescent="0.25">
      <c r="A1806" s="6">
        <v>1817</v>
      </c>
      <c r="B1806" t="s">
        <v>2666</v>
      </c>
      <c r="C1806" t="s">
        <v>1416</v>
      </c>
      <c r="D1806" t="s">
        <v>100</v>
      </c>
      <c r="E1806" t="str">
        <f>VLOOKUP(D1806,'Tên SP'!B$2:C$1070,2,0)</f>
        <v>NƯỚC GIẶT LIX HƯƠNG NƯỚC HOA 3,6KG/C04</v>
      </c>
      <c r="F1806" s="4">
        <v>105600</v>
      </c>
      <c r="G1806">
        <v>1</v>
      </c>
      <c r="H1806" s="4">
        <v>105600</v>
      </c>
      <c r="I1806" s="4">
        <v>0</v>
      </c>
      <c r="J1806" s="5">
        <f t="shared" si="28"/>
        <v>105600</v>
      </c>
    </row>
    <row r="1807" spans="1:10" x14ac:dyDescent="0.25">
      <c r="A1807" s="6">
        <v>1818</v>
      </c>
      <c r="B1807" t="s">
        <v>2667</v>
      </c>
      <c r="C1807" t="s">
        <v>1417</v>
      </c>
      <c r="D1807" t="s">
        <v>102</v>
      </c>
      <c r="E1807" t="str">
        <f>VLOOKUP(D1807,'Tên SP'!B$2:C$1070,2,0)</f>
        <v>NƯỚC GIẶT LIX HƯƠNG NƯỚC HOA 3,5KG/T04 TÚI</v>
      </c>
      <c r="F1807" s="4">
        <v>92400</v>
      </c>
      <c r="G1807">
        <v>1</v>
      </c>
      <c r="H1807" s="4">
        <v>92400</v>
      </c>
      <c r="I1807" s="4">
        <v>-3000</v>
      </c>
      <c r="J1807" s="5">
        <f t="shared" si="28"/>
        <v>89400</v>
      </c>
    </row>
    <row r="1808" spans="1:10" x14ac:dyDescent="0.25">
      <c r="A1808" s="6">
        <v>1819</v>
      </c>
      <c r="B1808" t="s">
        <v>2667</v>
      </c>
      <c r="C1808" t="s">
        <v>1417</v>
      </c>
      <c r="D1808" t="s">
        <v>102</v>
      </c>
      <c r="E1808" t="str">
        <f>VLOOKUP(D1808,'Tên SP'!B$2:C$1070,2,0)</f>
        <v>NƯỚC GIẶT LIX HƯƠNG NƯỚC HOA 3,5KG/T04 TÚI</v>
      </c>
      <c r="F1808" s="4">
        <v>92400</v>
      </c>
      <c r="G1808">
        <v>1</v>
      </c>
      <c r="H1808" s="4">
        <v>92400</v>
      </c>
      <c r="I1808" s="4">
        <v>-3000</v>
      </c>
      <c r="J1808" s="5">
        <f t="shared" si="28"/>
        <v>89400</v>
      </c>
    </row>
    <row r="1809" spans="1:10" x14ac:dyDescent="0.25">
      <c r="A1809" s="6">
        <v>1820</v>
      </c>
      <c r="B1809" t="s">
        <v>2667</v>
      </c>
      <c r="C1809" t="s">
        <v>1417</v>
      </c>
      <c r="D1809" t="s">
        <v>102</v>
      </c>
      <c r="E1809" t="str">
        <f>VLOOKUP(D1809,'Tên SP'!B$2:C$1070,2,0)</f>
        <v>NƯỚC GIẶT LIX HƯƠNG NƯỚC HOA 3,5KG/T04 TÚI</v>
      </c>
      <c r="F1809" s="4">
        <v>92400</v>
      </c>
      <c r="G1809">
        <v>1</v>
      </c>
      <c r="H1809" s="4">
        <v>92400</v>
      </c>
      <c r="I1809" s="4">
        <v>-3000</v>
      </c>
      <c r="J1809" s="5">
        <f t="shared" si="28"/>
        <v>89400</v>
      </c>
    </row>
    <row r="1810" spans="1:10" x14ac:dyDescent="0.25">
      <c r="A1810" s="6">
        <v>1821</v>
      </c>
      <c r="B1810" t="s">
        <v>2667</v>
      </c>
      <c r="C1810" t="s">
        <v>1417</v>
      </c>
      <c r="D1810" t="s">
        <v>102</v>
      </c>
      <c r="E1810" t="str">
        <f>VLOOKUP(D1810,'Tên SP'!B$2:C$1070,2,0)</f>
        <v>NƯỚC GIẶT LIX HƯƠNG NƯỚC HOA 3,5KG/T04 TÚI</v>
      </c>
      <c r="F1810" s="4">
        <v>92400</v>
      </c>
      <c r="G1810">
        <v>1</v>
      </c>
      <c r="H1810" s="4">
        <v>92400</v>
      </c>
      <c r="I1810" s="4">
        <v>-3000</v>
      </c>
      <c r="J1810" s="5">
        <f t="shared" si="28"/>
        <v>89400</v>
      </c>
    </row>
    <row r="1811" spans="1:10" x14ac:dyDescent="0.25">
      <c r="A1811" s="6">
        <v>1822</v>
      </c>
      <c r="B1811" t="s">
        <v>2667</v>
      </c>
      <c r="C1811" t="s">
        <v>1417</v>
      </c>
      <c r="D1811" t="s">
        <v>102</v>
      </c>
      <c r="E1811" t="str">
        <f>VLOOKUP(D1811,'Tên SP'!B$2:C$1070,2,0)</f>
        <v>NƯỚC GIẶT LIX HƯƠNG NƯỚC HOA 3,5KG/T04 TÚI</v>
      </c>
      <c r="F1811" s="4">
        <v>92400</v>
      </c>
      <c r="G1811">
        <v>1</v>
      </c>
      <c r="H1811" s="4">
        <v>92400</v>
      </c>
      <c r="I1811" s="4">
        <v>-3000</v>
      </c>
      <c r="J1811" s="5">
        <f t="shared" si="28"/>
        <v>89400</v>
      </c>
    </row>
    <row r="1812" spans="1:10" x14ac:dyDescent="0.25">
      <c r="A1812" s="6">
        <v>1823</v>
      </c>
      <c r="B1812" t="s">
        <v>2667</v>
      </c>
      <c r="C1812" t="s">
        <v>1417</v>
      </c>
      <c r="D1812" t="s">
        <v>184</v>
      </c>
      <c r="E1812" t="str">
        <f>VLOOKUP(D1812,'Tên SP'!B$2:C$1070,2,0)</f>
        <v>GEL DIỆT KHUẨN TAY ON1 60ML/CH80</v>
      </c>
      <c r="F1812" s="4">
        <v>25000</v>
      </c>
      <c r="G1812">
        <v>1</v>
      </c>
      <c r="H1812" s="4">
        <v>25000</v>
      </c>
      <c r="I1812" s="4">
        <v>-25000</v>
      </c>
      <c r="J1812" s="5">
        <f t="shared" si="28"/>
        <v>0</v>
      </c>
    </row>
    <row r="1813" spans="1:10" x14ac:dyDescent="0.25">
      <c r="A1813" s="6">
        <v>1824</v>
      </c>
      <c r="B1813" t="s">
        <v>2668</v>
      </c>
      <c r="C1813" t="s">
        <v>1418</v>
      </c>
      <c r="D1813" t="s">
        <v>23</v>
      </c>
      <c r="E1813" t="str">
        <f>VLOOKUP(D1813,'Tên SP'!B$2:C$1070,2,0)</f>
        <v>NƯỚC XẢ VẢI LIXSOFT 3,6L/C04</v>
      </c>
      <c r="F1813" s="4">
        <v>81000</v>
      </c>
      <c r="G1813">
        <v>1</v>
      </c>
      <c r="H1813" s="4">
        <v>81000</v>
      </c>
      <c r="I1813" s="4">
        <v>0</v>
      </c>
      <c r="J1813" s="5">
        <f t="shared" si="28"/>
        <v>81000</v>
      </c>
    </row>
    <row r="1814" spans="1:10" x14ac:dyDescent="0.25">
      <c r="A1814" s="6">
        <v>1825</v>
      </c>
      <c r="B1814" t="s">
        <v>2669</v>
      </c>
      <c r="C1814" t="s">
        <v>1419</v>
      </c>
      <c r="D1814" t="s">
        <v>100</v>
      </c>
      <c r="E1814" t="str">
        <f>VLOOKUP(D1814,'Tên SP'!B$2:C$1070,2,0)</f>
        <v>NƯỚC GIẶT LIX HƯƠNG NƯỚC HOA 3,6KG/C04</v>
      </c>
      <c r="F1814" s="4">
        <v>105600</v>
      </c>
      <c r="G1814">
        <v>1</v>
      </c>
      <c r="H1814" s="4">
        <v>105600</v>
      </c>
      <c r="I1814" s="4">
        <v>0</v>
      </c>
      <c r="J1814" s="5">
        <f t="shared" si="28"/>
        <v>105600</v>
      </c>
    </row>
    <row r="1815" spans="1:10" x14ac:dyDescent="0.25">
      <c r="A1815" s="6">
        <v>1826</v>
      </c>
      <c r="B1815" t="s">
        <v>2670</v>
      </c>
      <c r="C1815" t="s">
        <v>1420</v>
      </c>
      <c r="D1815" t="s">
        <v>102</v>
      </c>
      <c r="E1815" t="str">
        <f>VLOOKUP(D1815,'Tên SP'!B$2:C$1070,2,0)</f>
        <v>NƯỚC GIẶT LIX HƯƠNG NƯỚC HOA 3,5KG/T04 TÚI</v>
      </c>
      <c r="F1815" s="4">
        <v>92400</v>
      </c>
      <c r="G1815">
        <v>1</v>
      </c>
      <c r="H1815" s="4">
        <v>92400</v>
      </c>
      <c r="I1815" s="4">
        <v>-13860</v>
      </c>
      <c r="J1815" s="5">
        <f t="shared" si="28"/>
        <v>78540</v>
      </c>
    </row>
    <row r="1816" spans="1:10" x14ac:dyDescent="0.25">
      <c r="A1816" s="6">
        <v>1827</v>
      </c>
      <c r="B1816" t="s">
        <v>2670</v>
      </c>
      <c r="C1816" t="s">
        <v>1421</v>
      </c>
      <c r="D1816" t="s">
        <v>206</v>
      </c>
      <c r="E1816" t="str">
        <f>VLOOKUP(D1816,'Tên SP'!B$2:C$1070,2,0)</f>
        <v>NƯỚC GIẶT LIX MATIC HƯƠNG NƯỚC HOA 3,6KG/C04</v>
      </c>
      <c r="F1816" s="4">
        <v>123000</v>
      </c>
      <c r="G1816">
        <v>1</v>
      </c>
      <c r="H1816" s="4">
        <v>123000</v>
      </c>
      <c r="I1816" s="4">
        <v>-9974</v>
      </c>
      <c r="J1816" s="5">
        <f t="shared" si="28"/>
        <v>113026</v>
      </c>
    </row>
    <row r="1817" spans="1:10" x14ac:dyDescent="0.25">
      <c r="A1817" s="6">
        <v>1828</v>
      </c>
      <c r="B1817" t="s">
        <v>2670</v>
      </c>
      <c r="C1817" t="s">
        <v>1421</v>
      </c>
      <c r="D1817" t="s">
        <v>102</v>
      </c>
      <c r="E1817" t="str">
        <f>VLOOKUP(D1817,'Tên SP'!B$2:C$1070,2,0)</f>
        <v>NƯỚC GIẶT LIX HƯƠNG NƯỚC HOA 3,5KG/T04 TÚI</v>
      </c>
      <c r="F1817" s="4">
        <v>92400</v>
      </c>
      <c r="G1817">
        <v>1</v>
      </c>
      <c r="H1817" s="4">
        <v>92400</v>
      </c>
      <c r="I1817" s="4">
        <v>-7493</v>
      </c>
      <c r="J1817" s="5">
        <f t="shared" si="28"/>
        <v>84907</v>
      </c>
    </row>
    <row r="1818" spans="1:10" x14ac:dyDescent="0.25">
      <c r="A1818" s="6">
        <v>1829</v>
      </c>
      <c r="B1818" t="s">
        <v>2670</v>
      </c>
      <c r="C1818" t="s">
        <v>1421</v>
      </c>
      <c r="D1818" t="s">
        <v>102</v>
      </c>
      <c r="E1818" t="str">
        <f>VLOOKUP(D1818,'Tên SP'!B$2:C$1070,2,0)</f>
        <v>NƯỚC GIẶT LIX HƯƠNG NƯỚC HOA 3,5KG/T04 TÚI</v>
      </c>
      <c r="F1818" s="4">
        <v>92400</v>
      </c>
      <c r="G1818">
        <v>1</v>
      </c>
      <c r="H1818" s="4">
        <v>92400</v>
      </c>
      <c r="I1818" s="4">
        <v>-7492</v>
      </c>
      <c r="J1818" s="5">
        <f t="shared" si="28"/>
        <v>84908</v>
      </c>
    </row>
    <row r="1819" spans="1:10" x14ac:dyDescent="0.25">
      <c r="A1819" s="6">
        <v>1830</v>
      </c>
      <c r="B1819" t="s">
        <v>2670</v>
      </c>
      <c r="C1819" t="s">
        <v>1421</v>
      </c>
      <c r="D1819" t="s">
        <v>208</v>
      </c>
      <c r="E1819" t="str">
        <f>VLOOKUP(D1819,'Tên SP'!B$2:C$1070,2,0)</f>
        <v>NƯỚC GIẶT LIX MATIC HƯƠNG BAMBOO 3,6KG/C04</v>
      </c>
      <c r="F1819" s="4">
        <v>124000</v>
      </c>
      <c r="G1819">
        <v>1</v>
      </c>
      <c r="H1819" s="4">
        <v>124000</v>
      </c>
      <c r="I1819" s="4">
        <v>-10055</v>
      </c>
      <c r="J1819" s="5">
        <f t="shared" si="28"/>
        <v>113945</v>
      </c>
    </row>
    <row r="1820" spans="1:10" x14ac:dyDescent="0.25">
      <c r="A1820" s="6">
        <v>1831</v>
      </c>
      <c r="B1820" t="s">
        <v>2670</v>
      </c>
      <c r="C1820" t="s">
        <v>1421</v>
      </c>
      <c r="D1820" t="s">
        <v>9</v>
      </c>
      <c r="E1820" t="str">
        <f>VLOOKUP(D1820,'Tên SP'!B$2:C$1070,2,0)</f>
        <v>NƯỚC GIẶT LIX ĐẬM ĐẶC 3,5KG/T04 TÚI</v>
      </c>
      <c r="F1820" s="4">
        <v>92400</v>
      </c>
      <c r="G1820">
        <v>1</v>
      </c>
      <c r="H1820" s="4">
        <v>92400</v>
      </c>
      <c r="I1820" s="4">
        <v>-7493</v>
      </c>
      <c r="J1820" s="5">
        <f t="shared" si="28"/>
        <v>84907</v>
      </c>
    </row>
    <row r="1821" spans="1:10" x14ac:dyDescent="0.25">
      <c r="A1821" s="6">
        <v>1832</v>
      </c>
      <c r="B1821" t="s">
        <v>2670</v>
      </c>
      <c r="C1821" t="s">
        <v>1421</v>
      </c>
      <c r="D1821" t="s">
        <v>9</v>
      </c>
      <c r="E1821" t="str">
        <f>VLOOKUP(D1821,'Tên SP'!B$2:C$1070,2,0)</f>
        <v>NƯỚC GIẶT LIX ĐẬM ĐẶC 3,5KG/T04 TÚI</v>
      </c>
      <c r="F1821" s="4">
        <v>92400</v>
      </c>
      <c r="G1821">
        <v>1</v>
      </c>
      <c r="H1821" s="4">
        <v>92400</v>
      </c>
      <c r="I1821" s="4">
        <v>-7493</v>
      </c>
      <c r="J1821" s="5">
        <f t="shared" si="28"/>
        <v>84907</v>
      </c>
    </row>
    <row r="1822" spans="1:10" x14ac:dyDescent="0.25">
      <c r="A1822" s="6">
        <v>1833</v>
      </c>
      <c r="B1822" t="s">
        <v>2670</v>
      </c>
      <c r="C1822" t="s">
        <v>1421</v>
      </c>
      <c r="D1822" t="s">
        <v>184</v>
      </c>
      <c r="E1822" t="str">
        <f>VLOOKUP(D1822,'Tên SP'!B$2:C$1070,2,0)</f>
        <v>GEL DIỆT KHUẨN TAY ON1 60ML/CH80</v>
      </c>
      <c r="F1822" s="4">
        <v>25000</v>
      </c>
      <c r="G1822">
        <v>1</v>
      </c>
      <c r="H1822" s="4">
        <v>25000</v>
      </c>
      <c r="I1822" s="4">
        <v>-25000</v>
      </c>
      <c r="J1822" s="5">
        <f t="shared" si="28"/>
        <v>0</v>
      </c>
    </row>
    <row r="1823" spans="1:10" x14ac:dyDescent="0.25">
      <c r="A1823" s="6">
        <v>1834</v>
      </c>
      <c r="B1823" t="s">
        <v>2671</v>
      </c>
      <c r="C1823" t="s">
        <v>1422</v>
      </c>
      <c r="D1823" t="s">
        <v>97</v>
      </c>
      <c r="E1823" t="str">
        <f>VLOOKUP(D1823,'Tên SP'!B$2:C$1070,2,0)</f>
        <v>NƯỚC GIẶT LIX ĐẬM ĐẶC 3,6KG/C04</v>
      </c>
      <c r="F1823" s="4">
        <v>105600</v>
      </c>
      <c r="G1823">
        <v>1</v>
      </c>
      <c r="H1823" s="4">
        <v>105600</v>
      </c>
      <c r="I1823" s="4">
        <v>-3158</v>
      </c>
      <c r="J1823" s="5">
        <f t="shared" si="28"/>
        <v>102442</v>
      </c>
    </row>
    <row r="1824" spans="1:10" x14ac:dyDescent="0.25">
      <c r="A1824" s="6">
        <v>1835</v>
      </c>
      <c r="B1824" t="s">
        <v>2671</v>
      </c>
      <c r="C1824" t="s">
        <v>1422</v>
      </c>
      <c r="D1824" t="s">
        <v>97</v>
      </c>
      <c r="E1824" t="str">
        <f>VLOOKUP(D1824,'Tên SP'!B$2:C$1070,2,0)</f>
        <v>NƯỚC GIẶT LIX ĐẬM ĐẶC 3,6KG/C04</v>
      </c>
      <c r="F1824" s="4">
        <v>105600</v>
      </c>
      <c r="G1824">
        <v>1</v>
      </c>
      <c r="H1824" s="4">
        <v>105600</v>
      </c>
      <c r="I1824" s="4">
        <v>-3158</v>
      </c>
      <c r="J1824" s="5">
        <f t="shared" si="28"/>
        <v>102442</v>
      </c>
    </row>
    <row r="1825" spans="1:10" x14ac:dyDescent="0.25">
      <c r="A1825" s="6">
        <v>1836</v>
      </c>
      <c r="B1825" t="s">
        <v>2671</v>
      </c>
      <c r="C1825" t="s">
        <v>1422</v>
      </c>
      <c r="D1825" t="s">
        <v>97</v>
      </c>
      <c r="E1825" t="str">
        <f>VLOOKUP(D1825,'Tên SP'!B$2:C$1070,2,0)</f>
        <v>NƯỚC GIẶT LIX ĐẬM ĐẶC 3,6KG/C04</v>
      </c>
      <c r="F1825" s="4">
        <v>105600</v>
      </c>
      <c r="G1825">
        <v>1</v>
      </c>
      <c r="H1825" s="4">
        <v>105600</v>
      </c>
      <c r="I1825" s="4">
        <v>-3158</v>
      </c>
      <c r="J1825" s="5">
        <f t="shared" si="28"/>
        <v>102442</v>
      </c>
    </row>
    <row r="1826" spans="1:10" x14ac:dyDescent="0.25">
      <c r="A1826" s="6">
        <v>1837</v>
      </c>
      <c r="B1826" t="s">
        <v>2671</v>
      </c>
      <c r="C1826" t="s">
        <v>1422</v>
      </c>
      <c r="D1826" t="s">
        <v>9</v>
      </c>
      <c r="E1826" t="str">
        <f>VLOOKUP(D1826,'Tên SP'!B$2:C$1070,2,0)</f>
        <v>NƯỚC GIẶT LIX ĐẬM ĐẶC 3,5KG/T04 TÚI</v>
      </c>
      <c r="F1826" s="4">
        <v>92400</v>
      </c>
      <c r="G1826">
        <v>1</v>
      </c>
      <c r="H1826" s="4">
        <v>92400</v>
      </c>
      <c r="I1826" s="4">
        <v>-2763</v>
      </c>
      <c r="J1826" s="5">
        <f t="shared" si="28"/>
        <v>89637</v>
      </c>
    </row>
    <row r="1827" spans="1:10" x14ac:dyDescent="0.25">
      <c r="A1827" s="6">
        <v>1838</v>
      </c>
      <c r="B1827" t="s">
        <v>2671</v>
      </c>
      <c r="C1827" t="s">
        <v>1422</v>
      </c>
      <c r="D1827" t="s">
        <v>9</v>
      </c>
      <c r="E1827" t="str">
        <f>VLOOKUP(D1827,'Tên SP'!B$2:C$1070,2,0)</f>
        <v>NƯỚC GIẶT LIX ĐẬM ĐẶC 3,5KG/T04 TÚI</v>
      </c>
      <c r="F1827" s="4">
        <v>92400</v>
      </c>
      <c r="G1827">
        <v>1</v>
      </c>
      <c r="H1827" s="4">
        <v>92400</v>
      </c>
      <c r="I1827" s="4">
        <v>-2763</v>
      </c>
      <c r="J1827" s="5">
        <f t="shared" si="28"/>
        <v>89637</v>
      </c>
    </row>
    <row r="1828" spans="1:10" x14ac:dyDescent="0.25">
      <c r="A1828" s="6">
        <v>1839</v>
      </c>
      <c r="B1828" t="s">
        <v>2671</v>
      </c>
      <c r="C1828" t="s">
        <v>1422</v>
      </c>
      <c r="D1828" t="s">
        <v>184</v>
      </c>
      <c r="E1828" t="str">
        <f>VLOOKUP(D1828,'Tên SP'!B$2:C$1070,2,0)</f>
        <v>GEL DIỆT KHUẨN TAY ON1 60ML/CH80</v>
      </c>
      <c r="F1828" s="4">
        <v>25000</v>
      </c>
      <c r="G1828">
        <v>1</v>
      </c>
      <c r="H1828" s="4">
        <v>25000</v>
      </c>
      <c r="I1828" s="4">
        <v>-25000</v>
      </c>
      <c r="J1828" s="5">
        <f t="shared" si="28"/>
        <v>0</v>
      </c>
    </row>
    <row r="1829" spans="1:10" x14ac:dyDescent="0.25">
      <c r="A1829" s="6">
        <v>1840</v>
      </c>
      <c r="B1829" t="s">
        <v>2672</v>
      </c>
      <c r="C1829" t="s">
        <v>1423</v>
      </c>
      <c r="D1829" t="s">
        <v>67</v>
      </c>
      <c r="E1829" t="str">
        <f>VLOOKUP(D1829,'Tên SP'!B$2:C$1070,2,0)</f>
        <v>BỘT GIẶT LIX DD HƯƠNG NƯỚC HOA 800G/12</v>
      </c>
      <c r="F1829" s="4">
        <v>25600</v>
      </c>
      <c r="G1829">
        <v>1</v>
      </c>
      <c r="H1829" s="4">
        <v>25600</v>
      </c>
      <c r="I1829" s="4">
        <v>-1024</v>
      </c>
      <c r="J1829" s="5">
        <f t="shared" si="28"/>
        <v>24576</v>
      </c>
    </row>
    <row r="1830" spans="1:10" x14ac:dyDescent="0.25">
      <c r="A1830" s="6">
        <v>1841</v>
      </c>
      <c r="B1830" t="s">
        <v>2672</v>
      </c>
      <c r="C1830" t="s">
        <v>1423</v>
      </c>
      <c r="D1830" t="s">
        <v>67</v>
      </c>
      <c r="E1830" t="str">
        <f>VLOOKUP(D1830,'Tên SP'!B$2:C$1070,2,0)</f>
        <v>BỘT GIẶT LIX DD HƯƠNG NƯỚC HOA 800G/12</v>
      </c>
      <c r="F1830" s="4">
        <v>25600</v>
      </c>
      <c r="G1830">
        <v>1</v>
      </c>
      <c r="H1830" s="4">
        <v>25600</v>
      </c>
      <c r="I1830" s="4">
        <v>-1024</v>
      </c>
      <c r="J1830" s="5">
        <f t="shared" si="28"/>
        <v>24576</v>
      </c>
    </row>
    <row r="1831" spans="1:10" x14ac:dyDescent="0.25">
      <c r="A1831" s="6">
        <v>1842</v>
      </c>
      <c r="B1831" t="s">
        <v>2673</v>
      </c>
      <c r="C1831" t="s">
        <v>1424</v>
      </c>
      <c r="D1831" t="s">
        <v>102</v>
      </c>
      <c r="E1831" t="str">
        <f>VLOOKUP(D1831,'Tên SP'!B$2:C$1070,2,0)</f>
        <v>NƯỚC GIẶT LIX HƯƠNG NƯỚC HOA 3,5KG/T04 TÚI</v>
      </c>
      <c r="F1831" s="4">
        <v>92400</v>
      </c>
      <c r="G1831">
        <v>1</v>
      </c>
      <c r="H1831" s="4">
        <v>92400</v>
      </c>
      <c r="I1831" s="4">
        <v>-13860</v>
      </c>
      <c r="J1831" s="5">
        <f t="shared" si="28"/>
        <v>78540</v>
      </c>
    </row>
    <row r="1832" spans="1:10" x14ac:dyDescent="0.25">
      <c r="A1832" s="6">
        <v>1843</v>
      </c>
      <c r="B1832" t="s">
        <v>2674</v>
      </c>
      <c r="C1832" t="s">
        <v>1425</v>
      </c>
      <c r="D1832" t="s">
        <v>44</v>
      </c>
      <c r="E1832" t="str">
        <f>VLOOKUP(D1832,'Tên SP'!B$2:C$1070,2,0)</f>
        <v>BỘT GIẶT LIXE CHANH 5,5KG/03</v>
      </c>
      <c r="F1832" s="4">
        <v>127600</v>
      </c>
      <c r="G1832">
        <v>1</v>
      </c>
      <c r="H1832" s="4">
        <v>127600</v>
      </c>
      <c r="I1832" s="4">
        <v>-15000</v>
      </c>
      <c r="J1832" s="5">
        <f t="shared" si="28"/>
        <v>112600</v>
      </c>
    </row>
    <row r="1833" spans="1:10" x14ac:dyDescent="0.25">
      <c r="A1833" s="6">
        <v>1844</v>
      </c>
      <c r="B1833" t="s">
        <v>2675</v>
      </c>
      <c r="C1833" t="s">
        <v>1426</v>
      </c>
      <c r="D1833" t="s">
        <v>102</v>
      </c>
      <c r="E1833" t="str">
        <f>VLOOKUP(D1833,'Tên SP'!B$2:C$1070,2,0)</f>
        <v>NƯỚC GIẶT LIX HƯƠNG NƯỚC HOA 3,5KG/T04 TÚI</v>
      </c>
      <c r="F1833" s="4">
        <v>92400</v>
      </c>
      <c r="G1833">
        <v>1</v>
      </c>
      <c r="H1833" s="4">
        <v>92400</v>
      </c>
      <c r="I1833" s="4">
        <v>-13860</v>
      </c>
      <c r="J1833" s="5">
        <f t="shared" si="28"/>
        <v>78540</v>
      </c>
    </row>
    <row r="1834" spans="1:10" x14ac:dyDescent="0.25">
      <c r="A1834" s="6">
        <v>1845</v>
      </c>
      <c r="B1834" t="s">
        <v>2676</v>
      </c>
      <c r="C1834" t="s">
        <v>1427</v>
      </c>
      <c r="D1834" t="s">
        <v>28</v>
      </c>
      <c r="E1834" t="str">
        <f>VLOOKUP(D1834,'Tên SP'!B$2:C$1070,2,0)</f>
        <v>NƯỚC XẢ VẢI LIXSOFT HƯƠNG HOA HỒNG 3,6L/C04</v>
      </c>
      <c r="F1834" s="4">
        <v>81000</v>
      </c>
      <c r="G1834">
        <v>1</v>
      </c>
      <c r="H1834" s="4">
        <v>81000</v>
      </c>
      <c r="I1834" s="4">
        <v>-4050</v>
      </c>
      <c r="J1834" s="5">
        <f t="shared" si="28"/>
        <v>76950</v>
      </c>
    </row>
    <row r="1835" spans="1:10" x14ac:dyDescent="0.25">
      <c r="A1835" s="6">
        <v>1846</v>
      </c>
      <c r="B1835" t="s">
        <v>2676</v>
      </c>
      <c r="C1835" t="s">
        <v>1427</v>
      </c>
      <c r="D1835" t="s">
        <v>28</v>
      </c>
      <c r="E1835" t="str">
        <f>VLOOKUP(D1835,'Tên SP'!B$2:C$1070,2,0)</f>
        <v>NƯỚC XẢ VẢI LIXSOFT HƯƠNG HOA HỒNG 3,6L/C04</v>
      </c>
      <c r="F1835" s="4">
        <v>81000</v>
      </c>
      <c r="G1835">
        <v>1</v>
      </c>
      <c r="H1835" s="4">
        <v>81000</v>
      </c>
      <c r="I1835" s="4">
        <v>-4050</v>
      </c>
      <c r="J1835" s="5">
        <f t="shared" si="28"/>
        <v>76950</v>
      </c>
    </row>
    <row r="1836" spans="1:10" x14ac:dyDescent="0.25">
      <c r="A1836" s="6">
        <v>1847</v>
      </c>
      <c r="B1836" t="s">
        <v>2676</v>
      </c>
      <c r="C1836" t="s">
        <v>1427</v>
      </c>
      <c r="D1836" t="s">
        <v>174</v>
      </c>
      <c r="E1836" t="str">
        <f>VLOOKUP(D1836,'Tên SP'!B$2:C$1070,2,0)</f>
        <v>NƯỚC LAU SÀN ON1 TINH DẦU ĐINH HƯƠNG &amp; HOẮC HƯƠNG 3,6L/C04</v>
      </c>
      <c r="F1836" s="4">
        <v>118800</v>
      </c>
      <c r="G1836">
        <v>1</v>
      </c>
      <c r="H1836" s="4">
        <v>118800</v>
      </c>
      <c r="I1836" s="4">
        <v>-5940</v>
      </c>
      <c r="J1836" s="5">
        <f t="shared" si="28"/>
        <v>112860</v>
      </c>
    </row>
    <row r="1837" spans="1:10" x14ac:dyDescent="0.25">
      <c r="A1837" s="6">
        <v>1848</v>
      </c>
      <c r="B1837" t="s">
        <v>2676</v>
      </c>
      <c r="C1837" t="s">
        <v>1427</v>
      </c>
      <c r="D1837" t="s">
        <v>158</v>
      </c>
      <c r="E1837" t="str">
        <f>VLOOKUP(D1837,'Tên SP'!B$2:C$1070,2,0)</f>
        <v>NƯỚC GIẶT XẢ ON1 BAMBOO CHARCOAL 3,5KG/T04 (TÚI)</v>
      </c>
      <c r="F1837" s="4">
        <v>132000</v>
      </c>
      <c r="G1837">
        <v>1</v>
      </c>
      <c r="H1837" s="4">
        <v>132000</v>
      </c>
      <c r="I1837" s="4">
        <v>-56600</v>
      </c>
      <c r="J1837" s="5">
        <f t="shared" si="28"/>
        <v>75400</v>
      </c>
    </row>
    <row r="1838" spans="1:10" x14ac:dyDescent="0.25">
      <c r="A1838" s="6">
        <v>1849</v>
      </c>
      <c r="B1838" t="s">
        <v>2676</v>
      </c>
      <c r="C1838" t="s">
        <v>1427</v>
      </c>
      <c r="D1838" t="s">
        <v>158</v>
      </c>
      <c r="E1838" t="str">
        <f>VLOOKUP(D1838,'Tên SP'!B$2:C$1070,2,0)</f>
        <v>NƯỚC GIẶT XẢ ON1 BAMBOO CHARCOAL 3,5KG/T04 (TÚI)</v>
      </c>
      <c r="F1838" s="4">
        <v>132000</v>
      </c>
      <c r="G1838">
        <v>1</v>
      </c>
      <c r="H1838" s="4">
        <v>132000</v>
      </c>
      <c r="I1838" s="4">
        <v>-56600</v>
      </c>
      <c r="J1838" s="5">
        <f t="shared" si="28"/>
        <v>75400</v>
      </c>
    </row>
    <row r="1839" spans="1:10" x14ac:dyDescent="0.25">
      <c r="A1839" s="6">
        <v>1850</v>
      </c>
      <c r="B1839" t="s">
        <v>2677</v>
      </c>
      <c r="C1839" t="s">
        <v>1428</v>
      </c>
      <c r="D1839" t="s">
        <v>9</v>
      </c>
      <c r="E1839" t="str">
        <f>VLOOKUP(D1839,'Tên SP'!B$2:C$1070,2,0)</f>
        <v>NƯỚC GIẶT LIX ĐẬM ĐẶC 3,5KG/T04 TÚI</v>
      </c>
      <c r="F1839" s="4">
        <v>92400</v>
      </c>
      <c r="G1839">
        <v>1</v>
      </c>
      <c r="H1839" s="4">
        <v>92400</v>
      </c>
      <c r="I1839" s="4">
        <v>-13860</v>
      </c>
      <c r="J1839" s="5">
        <f t="shared" si="28"/>
        <v>78540</v>
      </c>
    </row>
    <row r="1840" spans="1:10" x14ac:dyDescent="0.25">
      <c r="A1840" s="6">
        <v>1851</v>
      </c>
      <c r="B1840" t="s">
        <v>2678</v>
      </c>
      <c r="C1840" t="s">
        <v>1429</v>
      </c>
      <c r="D1840" t="s">
        <v>102</v>
      </c>
      <c r="E1840" t="str">
        <f>VLOOKUP(D1840,'Tên SP'!B$2:C$1070,2,0)</f>
        <v>NƯỚC GIẶT LIX HƯƠNG NƯỚC HOA 3,5KG/T04 TÚI</v>
      </c>
      <c r="F1840" s="4">
        <v>105000</v>
      </c>
      <c r="G1840">
        <v>1</v>
      </c>
      <c r="H1840" s="4">
        <v>105000</v>
      </c>
      <c r="I1840" s="4">
        <v>-15000</v>
      </c>
      <c r="J1840" s="5">
        <f t="shared" si="28"/>
        <v>90000</v>
      </c>
    </row>
    <row r="1841" spans="1:10" x14ac:dyDescent="0.25">
      <c r="A1841" s="6">
        <v>1852</v>
      </c>
      <c r="B1841" t="s">
        <v>2679</v>
      </c>
      <c r="C1841" t="s">
        <v>1430</v>
      </c>
      <c r="D1841" t="s">
        <v>9</v>
      </c>
      <c r="E1841" t="str">
        <f>VLOOKUP(D1841,'Tên SP'!B$2:C$1070,2,0)</f>
        <v>NƯỚC GIẶT LIX ĐẬM ĐẶC 3,5KG/T04 TÚI</v>
      </c>
      <c r="F1841" s="4">
        <v>105000</v>
      </c>
      <c r="G1841">
        <v>1</v>
      </c>
      <c r="H1841" s="4">
        <v>105000</v>
      </c>
      <c r="I1841" s="4">
        <v>0</v>
      </c>
      <c r="J1841" s="5">
        <f t="shared" si="28"/>
        <v>105000</v>
      </c>
    </row>
    <row r="1842" spans="1:10" x14ac:dyDescent="0.25">
      <c r="A1842" s="6">
        <v>1853</v>
      </c>
      <c r="B1842" t="s">
        <v>2679</v>
      </c>
      <c r="C1842" t="s">
        <v>1430</v>
      </c>
      <c r="D1842" t="s">
        <v>75</v>
      </c>
      <c r="E1842" t="str">
        <f>VLOOKUP(D1842,'Tên SP'!B$2:C$1070,2,0)</f>
        <v>NƯỚC RỬA CHÉN SIÊU SẠCH CHANH 3,6KG/C04</v>
      </c>
      <c r="F1842" s="4">
        <v>79000</v>
      </c>
      <c r="G1842">
        <v>1</v>
      </c>
      <c r="H1842" s="4">
        <v>79000</v>
      </c>
      <c r="I1842" s="4">
        <v>0</v>
      </c>
      <c r="J1842" s="5">
        <f t="shared" si="28"/>
        <v>79000</v>
      </c>
    </row>
    <row r="1843" spans="1:10" x14ac:dyDescent="0.25">
      <c r="A1843" s="6">
        <v>1854</v>
      </c>
      <c r="B1843" t="s">
        <v>2679</v>
      </c>
      <c r="C1843" t="s">
        <v>1430</v>
      </c>
      <c r="D1843" t="s">
        <v>93</v>
      </c>
      <c r="E1843" t="str">
        <f>VLOOKUP(D1843,'Tên SP'!B$2:C$1070,2,0)</f>
        <v>NƯỚC LAU SÀN ĐUỔI CÔN TRÙNG LIX 3.6L/C04</v>
      </c>
      <c r="F1843" s="4">
        <v>85000</v>
      </c>
      <c r="G1843">
        <v>1</v>
      </c>
      <c r="H1843" s="4">
        <v>85000</v>
      </c>
      <c r="I1843" s="4">
        <v>0</v>
      </c>
      <c r="J1843" s="5">
        <f t="shared" si="28"/>
        <v>85000</v>
      </c>
    </row>
    <row r="1844" spans="1:10" x14ac:dyDescent="0.25">
      <c r="A1844" s="6">
        <v>1855</v>
      </c>
      <c r="B1844" t="s">
        <v>2679</v>
      </c>
      <c r="C1844" t="s">
        <v>1430</v>
      </c>
      <c r="D1844" t="s">
        <v>158</v>
      </c>
      <c r="E1844" t="str">
        <f>VLOOKUP(D1844,'Tên SP'!B$2:C$1070,2,0)</f>
        <v>NƯỚC GIẶT XẢ ON1 BAMBOO CHARCOAL 3,5KG/T04 (TÚI)</v>
      </c>
      <c r="F1844" s="4">
        <v>135000</v>
      </c>
      <c r="G1844">
        <v>1</v>
      </c>
      <c r="H1844" s="4">
        <v>135000</v>
      </c>
      <c r="I1844" s="4">
        <v>-54000</v>
      </c>
      <c r="J1844" s="5">
        <f t="shared" si="28"/>
        <v>81000</v>
      </c>
    </row>
    <row r="1845" spans="1:10" x14ac:dyDescent="0.25">
      <c r="A1845" s="6">
        <v>1856</v>
      </c>
      <c r="B1845" t="s">
        <v>2679</v>
      </c>
      <c r="C1845" t="s">
        <v>1430</v>
      </c>
      <c r="D1845" t="s">
        <v>184</v>
      </c>
      <c r="E1845" t="str">
        <f>VLOOKUP(D1845,'Tên SP'!B$2:C$1070,2,0)</f>
        <v>GEL DIỆT KHUẨN TAY ON1 60ML/CH80</v>
      </c>
      <c r="F1845" s="4">
        <v>25000</v>
      </c>
      <c r="G1845">
        <v>1</v>
      </c>
      <c r="H1845" s="4">
        <v>25000</v>
      </c>
      <c r="I1845" s="4">
        <v>-25000</v>
      </c>
      <c r="J1845" s="5">
        <f t="shared" si="28"/>
        <v>0</v>
      </c>
    </row>
    <row r="1846" spans="1:10" x14ac:dyDescent="0.25">
      <c r="A1846" s="6">
        <v>1857</v>
      </c>
      <c r="B1846" t="s">
        <v>2680</v>
      </c>
      <c r="C1846" t="s">
        <v>1431</v>
      </c>
      <c r="D1846" t="s">
        <v>23</v>
      </c>
      <c r="E1846" t="str">
        <f>VLOOKUP(D1846,'Tên SP'!B$2:C$1070,2,0)</f>
        <v>NƯỚC XẢ VẢI LIXSOFT 3,6L/C04</v>
      </c>
      <c r="F1846" s="4">
        <v>92000</v>
      </c>
      <c r="G1846">
        <v>1</v>
      </c>
      <c r="H1846" s="4">
        <v>92000</v>
      </c>
      <c r="I1846" s="4">
        <v>0</v>
      </c>
      <c r="J1846" s="5">
        <f t="shared" si="28"/>
        <v>92000</v>
      </c>
    </row>
    <row r="1847" spans="1:10" x14ac:dyDescent="0.25">
      <c r="A1847" s="6">
        <v>1858</v>
      </c>
      <c r="B1847" t="s">
        <v>2681</v>
      </c>
      <c r="C1847" t="s">
        <v>1432</v>
      </c>
      <c r="D1847" t="s">
        <v>38</v>
      </c>
      <c r="E1847" t="str">
        <f>VLOOKUP(D1847,'Tên SP'!B$2:C$1070,2,0)</f>
        <v>BỘT GIẶT LIXE HƯƠNG NƯỚC HOA 5,5KG/03</v>
      </c>
      <c r="F1847" s="4">
        <v>145000</v>
      </c>
      <c r="G1847">
        <v>1</v>
      </c>
      <c r="H1847" s="4">
        <v>145000</v>
      </c>
      <c r="I1847" s="4">
        <v>0</v>
      </c>
      <c r="J1847" s="5">
        <f t="shared" ref="J1847:J1910" si="29">H1847+I1847</f>
        <v>145000</v>
      </c>
    </row>
    <row r="1848" spans="1:10" x14ac:dyDescent="0.25">
      <c r="A1848" s="6">
        <v>1859</v>
      </c>
      <c r="B1848" t="s">
        <v>2682</v>
      </c>
      <c r="C1848" t="s">
        <v>1433</v>
      </c>
      <c r="D1848" t="s">
        <v>67</v>
      </c>
      <c r="E1848" t="str">
        <f>VLOOKUP(D1848,'Tên SP'!B$2:C$1070,2,0)</f>
        <v>BỘT GIẶT LIX DD HƯƠNG NƯỚC HOA 800G/12</v>
      </c>
      <c r="F1848" s="4">
        <v>29000</v>
      </c>
      <c r="G1848">
        <v>1</v>
      </c>
      <c r="H1848" s="4">
        <v>29000</v>
      </c>
      <c r="I1848" s="4">
        <v>-4350</v>
      </c>
      <c r="J1848" s="5">
        <f t="shared" si="29"/>
        <v>24650</v>
      </c>
    </row>
    <row r="1849" spans="1:10" x14ac:dyDescent="0.25">
      <c r="A1849" s="6">
        <v>1860</v>
      </c>
      <c r="B1849" t="s">
        <v>2683</v>
      </c>
      <c r="C1849" t="s">
        <v>1434</v>
      </c>
      <c r="D1849" t="s">
        <v>106</v>
      </c>
      <c r="E1849" t="str">
        <f>VLOOKUP(D1849,'Tên SP'!B$2:C$1070,2,0)</f>
        <v>NƯỚC GIẶT LIX SIÊU SẠCH HOA ANH ĐÀO 2.4KG/T06</v>
      </c>
      <c r="F1849" s="4">
        <v>69000</v>
      </c>
      <c r="G1849">
        <v>1</v>
      </c>
      <c r="H1849" s="4">
        <v>69000</v>
      </c>
      <c r="I1849" s="4">
        <v>-10260</v>
      </c>
      <c r="J1849" s="5">
        <f t="shared" si="29"/>
        <v>58740</v>
      </c>
    </row>
    <row r="1850" spans="1:10" x14ac:dyDescent="0.25">
      <c r="A1850" s="6">
        <v>1861</v>
      </c>
      <c r="B1850" t="s">
        <v>2683</v>
      </c>
      <c r="C1850" t="s">
        <v>1434</v>
      </c>
      <c r="D1850" t="s">
        <v>106</v>
      </c>
      <c r="E1850" t="str">
        <f>VLOOKUP(D1850,'Tên SP'!B$2:C$1070,2,0)</f>
        <v>NƯỚC GIẶT LIX SIÊU SẠCH HOA ANH ĐÀO 2.4KG/T06</v>
      </c>
      <c r="F1850" s="4">
        <v>69000</v>
      </c>
      <c r="G1850">
        <v>1</v>
      </c>
      <c r="H1850" s="4">
        <v>69000</v>
      </c>
      <c r="I1850" s="4">
        <v>-10260</v>
      </c>
      <c r="J1850" s="5">
        <f t="shared" si="29"/>
        <v>58740</v>
      </c>
    </row>
    <row r="1851" spans="1:10" x14ac:dyDescent="0.25">
      <c r="A1851" s="6">
        <v>1862</v>
      </c>
      <c r="B1851" t="s">
        <v>2684</v>
      </c>
      <c r="C1851" t="s">
        <v>1435</v>
      </c>
      <c r="D1851" t="s">
        <v>28</v>
      </c>
      <c r="E1851" t="str">
        <f>VLOOKUP(D1851,'Tên SP'!B$2:C$1070,2,0)</f>
        <v>NƯỚC XẢ VẢI LIXSOFT HƯƠNG HOA HỒNG 3,6L/C04</v>
      </c>
      <c r="F1851" s="4">
        <v>92000</v>
      </c>
      <c r="G1851">
        <v>1</v>
      </c>
      <c r="H1851" s="4">
        <v>92000</v>
      </c>
      <c r="I1851" s="4">
        <v>-13800</v>
      </c>
      <c r="J1851" s="5">
        <f t="shared" si="29"/>
        <v>78200</v>
      </c>
    </row>
    <row r="1852" spans="1:10" x14ac:dyDescent="0.25">
      <c r="A1852" s="6">
        <v>1863</v>
      </c>
      <c r="B1852" t="s">
        <v>2685</v>
      </c>
      <c r="C1852" t="s">
        <v>1436</v>
      </c>
      <c r="D1852" t="s">
        <v>152</v>
      </c>
      <c r="E1852" t="str">
        <f>VLOOKUP(D1852,'Tên SP'!B$2:C$1070,2,0)</f>
        <v>NƯỚC GIẶT ON1 CHỐNG LEM MÀU FRESH SAKURA 3,5KG/T04 (TÚI)</v>
      </c>
      <c r="F1852" s="4">
        <v>150000</v>
      </c>
      <c r="G1852">
        <v>1</v>
      </c>
      <c r="H1852" s="4">
        <v>150000</v>
      </c>
      <c r="I1852" s="4">
        <v>-56000</v>
      </c>
      <c r="J1852" s="5">
        <f t="shared" si="29"/>
        <v>94000</v>
      </c>
    </row>
    <row r="1853" spans="1:10" x14ac:dyDescent="0.25">
      <c r="A1853" s="6">
        <v>1864</v>
      </c>
      <c r="B1853" t="s">
        <v>2685</v>
      </c>
      <c r="C1853" t="s">
        <v>1436</v>
      </c>
      <c r="D1853" t="s">
        <v>152</v>
      </c>
      <c r="E1853" t="str">
        <f>VLOOKUP(D1853,'Tên SP'!B$2:C$1070,2,0)</f>
        <v>NƯỚC GIẶT ON1 CHỐNG LEM MÀU FRESH SAKURA 3,5KG/T04 (TÚI)</v>
      </c>
      <c r="F1853" s="4">
        <v>150000</v>
      </c>
      <c r="G1853">
        <v>1</v>
      </c>
      <c r="H1853" s="4">
        <v>150000</v>
      </c>
      <c r="I1853" s="4">
        <v>-56000</v>
      </c>
      <c r="J1853" s="5">
        <f t="shared" si="29"/>
        <v>94000</v>
      </c>
    </row>
    <row r="1854" spans="1:10" x14ac:dyDescent="0.25">
      <c r="A1854" s="6">
        <v>1865</v>
      </c>
      <c r="B1854" t="s">
        <v>2686</v>
      </c>
      <c r="C1854" t="s">
        <v>1437</v>
      </c>
      <c r="D1854" t="s">
        <v>81</v>
      </c>
      <c r="E1854" t="str">
        <f>VLOOKUP(D1854,'Tên SP'!B$2:C$1070,2,0)</f>
        <v>NƯỚC RỬA CHÉN SIÊU SẠCH TRÀ 3,5KG/T04- TÚI</v>
      </c>
      <c r="F1854" s="4">
        <v>66750</v>
      </c>
      <c r="G1854">
        <v>1</v>
      </c>
      <c r="H1854" s="4">
        <v>66750</v>
      </c>
      <c r="I1854" s="4">
        <v>0</v>
      </c>
      <c r="J1854" s="5">
        <f t="shared" si="29"/>
        <v>66750</v>
      </c>
    </row>
    <row r="1855" spans="1:10" x14ac:dyDescent="0.25">
      <c r="A1855" s="6">
        <v>1866</v>
      </c>
      <c r="B1855" t="s">
        <v>2687</v>
      </c>
      <c r="C1855" t="s">
        <v>1438</v>
      </c>
      <c r="D1855" t="s">
        <v>152</v>
      </c>
      <c r="E1855" t="str">
        <f>VLOOKUP(D1855,'Tên SP'!B$2:C$1070,2,0)</f>
        <v>NƯỚC GIẶT ON1 CHỐNG LEM MÀU FRESH SAKURA 3,5KG/T04 (TÚI)</v>
      </c>
      <c r="F1855" s="4">
        <v>150000</v>
      </c>
      <c r="G1855">
        <v>1</v>
      </c>
      <c r="H1855" s="4">
        <v>150000</v>
      </c>
      <c r="I1855" s="4">
        <v>-60000</v>
      </c>
      <c r="J1855" s="5">
        <f t="shared" si="29"/>
        <v>90000</v>
      </c>
    </row>
    <row r="1856" spans="1:10" x14ac:dyDescent="0.25">
      <c r="A1856" s="6">
        <v>1867</v>
      </c>
      <c r="B1856" t="s">
        <v>2688</v>
      </c>
      <c r="C1856" t="s">
        <v>1439</v>
      </c>
      <c r="D1856" t="s">
        <v>81</v>
      </c>
      <c r="E1856" t="str">
        <f>VLOOKUP(D1856,'Tên SP'!B$2:C$1070,2,0)</f>
        <v>NƯỚC RỬA CHÉN SIÊU SẠCH TRÀ 3,5KG/T04- TÚI</v>
      </c>
      <c r="F1856" s="4">
        <v>75000</v>
      </c>
      <c r="G1856">
        <v>1</v>
      </c>
      <c r="H1856" s="4">
        <v>75000</v>
      </c>
      <c r="I1856" s="4">
        <v>-11250</v>
      </c>
      <c r="J1856" s="5">
        <f t="shared" si="29"/>
        <v>63750</v>
      </c>
    </row>
    <row r="1857" spans="1:10" x14ac:dyDescent="0.25">
      <c r="A1857" s="6">
        <v>1868</v>
      </c>
      <c r="B1857" t="s">
        <v>2689</v>
      </c>
      <c r="C1857" t="s">
        <v>1440</v>
      </c>
      <c r="D1857" t="s">
        <v>9</v>
      </c>
      <c r="E1857" t="str">
        <f>VLOOKUP(D1857,'Tên SP'!B$2:C$1070,2,0)</f>
        <v>NƯỚC GIẶT LIX ĐẬM ĐẶC 3,5KG/T04 TÚI</v>
      </c>
      <c r="F1857" s="4">
        <v>88000</v>
      </c>
      <c r="G1857">
        <v>1</v>
      </c>
      <c r="H1857" s="4">
        <v>88000</v>
      </c>
      <c r="I1857" s="4">
        <v>0</v>
      </c>
      <c r="J1857" s="5">
        <f t="shared" si="29"/>
        <v>88000</v>
      </c>
    </row>
    <row r="1858" spans="1:10" x14ac:dyDescent="0.25">
      <c r="A1858" s="6">
        <v>1869</v>
      </c>
      <c r="B1858" t="s">
        <v>2690</v>
      </c>
      <c r="C1858" t="s">
        <v>1441</v>
      </c>
      <c r="D1858" t="s">
        <v>184</v>
      </c>
      <c r="E1858" t="str">
        <f>VLOOKUP(D1858,'Tên SP'!B$2:C$1070,2,0)</f>
        <v>GEL DIỆT KHUẨN TAY ON1 60ML/CH80</v>
      </c>
      <c r="F1858" s="4">
        <v>25000</v>
      </c>
      <c r="G1858">
        <v>1</v>
      </c>
      <c r="H1858" s="4">
        <v>25000</v>
      </c>
      <c r="I1858" s="4">
        <v>-25000</v>
      </c>
      <c r="J1858" s="5">
        <f t="shared" si="29"/>
        <v>0</v>
      </c>
    </row>
    <row r="1859" spans="1:10" x14ac:dyDescent="0.25">
      <c r="A1859" s="6">
        <v>1870</v>
      </c>
      <c r="B1859" t="s">
        <v>2690</v>
      </c>
      <c r="C1859" t="s">
        <v>1441</v>
      </c>
      <c r="D1859" t="s">
        <v>9</v>
      </c>
      <c r="E1859" t="str">
        <f>VLOOKUP(D1859,'Tên SP'!B$2:C$1070,2,0)</f>
        <v>NƯỚC GIẶT LIX ĐẬM ĐẶC 3,5KG/T04 TÚI</v>
      </c>
      <c r="F1859" s="4">
        <v>88000</v>
      </c>
      <c r="G1859">
        <v>1</v>
      </c>
      <c r="H1859" s="4">
        <v>88000</v>
      </c>
      <c r="I1859" s="4">
        <v>0</v>
      </c>
      <c r="J1859" s="5">
        <f t="shared" si="29"/>
        <v>88000</v>
      </c>
    </row>
    <row r="1860" spans="1:10" x14ac:dyDescent="0.25">
      <c r="A1860" s="6">
        <v>1871</v>
      </c>
      <c r="B1860" t="s">
        <v>2690</v>
      </c>
      <c r="C1860" t="s">
        <v>1441</v>
      </c>
      <c r="D1860" t="s">
        <v>9</v>
      </c>
      <c r="E1860" t="str">
        <f>VLOOKUP(D1860,'Tên SP'!B$2:C$1070,2,0)</f>
        <v>NƯỚC GIẶT LIX ĐẬM ĐẶC 3,5KG/T04 TÚI</v>
      </c>
      <c r="F1860" s="4">
        <v>88000</v>
      </c>
      <c r="G1860">
        <v>1</v>
      </c>
      <c r="H1860" s="4">
        <v>88000</v>
      </c>
      <c r="I1860" s="4">
        <v>0</v>
      </c>
      <c r="J1860" s="5">
        <f t="shared" si="29"/>
        <v>88000</v>
      </c>
    </row>
    <row r="1861" spans="1:10" x14ac:dyDescent="0.25">
      <c r="A1861" s="6">
        <v>1872</v>
      </c>
      <c r="B1861" t="s">
        <v>2690</v>
      </c>
      <c r="C1861" t="s">
        <v>1441</v>
      </c>
      <c r="D1861" t="s">
        <v>9</v>
      </c>
      <c r="E1861" t="str">
        <f>VLOOKUP(D1861,'Tên SP'!B$2:C$1070,2,0)</f>
        <v>NƯỚC GIẶT LIX ĐẬM ĐẶC 3,5KG/T04 TÚI</v>
      </c>
      <c r="F1861" s="4">
        <v>88000</v>
      </c>
      <c r="G1861">
        <v>1</v>
      </c>
      <c r="H1861" s="4">
        <v>88000</v>
      </c>
      <c r="I1861" s="4">
        <v>0</v>
      </c>
      <c r="J1861" s="5">
        <f t="shared" si="29"/>
        <v>88000</v>
      </c>
    </row>
    <row r="1862" spans="1:10" x14ac:dyDescent="0.25">
      <c r="A1862" s="6">
        <v>1873</v>
      </c>
      <c r="B1862" t="s">
        <v>2691</v>
      </c>
      <c r="C1862" t="s">
        <v>1442</v>
      </c>
      <c r="D1862" t="s">
        <v>9</v>
      </c>
      <c r="E1862" t="str">
        <f>VLOOKUP(D1862,'Tên SP'!B$2:C$1070,2,0)</f>
        <v>NƯỚC GIẶT LIX ĐẬM ĐẶC 3,5KG/T04 TÚI</v>
      </c>
      <c r="F1862" s="4">
        <v>88000</v>
      </c>
      <c r="G1862">
        <v>1</v>
      </c>
      <c r="H1862" s="4">
        <v>88000</v>
      </c>
      <c r="I1862" s="4">
        <v>-13200</v>
      </c>
      <c r="J1862" s="5">
        <f t="shared" si="29"/>
        <v>74800</v>
      </c>
    </row>
    <row r="1863" spans="1:10" x14ac:dyDescent="0.25">
      <c r="A1863" s="6">
        <v>1874</v>
      </c>
      <c r="B1863" t="s">
        <v>2692</v>
      </c>
      <c r="C1863" t="s">
        <v>1443</v>
      </c>
      <c r="D1863" t="s">
        <v>164</v>
      </c>
      <c r="E1863" t="str">
        <f>VLOOKUP(D1863,'Tên SP'!B$2:C$1070,2,0)</f>
        <v>NƯỚC GIẶT XẢ MATIC ON1 GARDEN OF FAME 3,5KG/T04 (TÚI)</v>
      </c>
      <c r="F1863" s="4">
        <v>150000</v>
      </c>
      <c r="G1863">
        <v>1</v>
      </c>
      <c r="H1863" s="4">
        <v>150000</v>
      </c>
      <c r="I1863" s="4">
        <v>-13500</v>
      </c>
      <c r="J1863" s="5">
        <f t="shared" si="29"/>
        <v>136500</v>
      </c>
    </row>
    <row r="1864" spans="1:10" x14ac:dyDescent="0.25">
      <c r="A1864" s="6">
        <v>1875</v>
      </c>
      <c r="B1864" t="s">
        <v>2692</v>
      </c>
      <c r="C1864" t="s">
        <v>1443</v>
      </c>
      <c r="D1864" t="s">
        <v>164</v>
      </c>
      <c r="E1864" t="str">
        <f>VLOOKUP(D1864,'Tên SP'!B$2:C$1070,2,0)</f>
        <v>NƯỚC GIẶT XẢ MATIC ON1 GARDEN OF FAME 3,5KG/T04 (TÚI)</v>
      </c>
      <c r="F1864" s="4">
        <v>150000</v>
      </c>
      <c r="G1864">
        <v>1</v>
      </c>
      <c r="H1864" s="4">
        <v>150000</v>
      </c>
      <c r="I1864" s="4">
        <v>-13500</v>
      </c>
      <c r="J1864" s="5">
        <f t="shared" si="29"/>
        <v>136500</v>
      </c>
    </row>
    <row r="1865" spans="1:10" x14ac:dyDescent="0.25">
      <c r="A1865" s="6">
        <v>1876</v>
      </c>
      <c r="B1865" t="s">
        <v>2693</v>
      </c>
      <c r="C1865" t="s">
        <v>1444</v>
      </c>
      <c r="D1865" t="s">
        <v>9</v>
      </c>
      <c r="E1865" t="str">
        <f>VLOOKUP(D1865,'Tên SP'!B$2:C$1070,2,0)</f>
        <v>NƯỚC GIẶT LIX ĐẬM ĐẶC 3,5KG/T04 TÚI</v>
      </c>
      <c r="F1865" s="4">
        <v>88000</v>
      </c>
      <c r="G1865">
        <v>1</v>
      </c>
      <c r="H1865" s="4">
        <v>88000</v>
      </c>
      <c r="I1865" s="4">
        <v>-13200</v>
      </c>
      <c r="J1865" s="5">
        <f t="shared" si="29"/>
        <v>74800</v>
      </c>
    </row>
    <row r="1866" spans="1:10" x14ac:dyDescent="0.25">
      <c r="A1866" s="6">
        <v>1877</v>
      </c>
      <c r="B1866" t="s">
        <v>2694</v>
      </c>
      <c r="C1866" t="s">
        <v>1445</v>
      </c>
      <c r="D1866" t="s">
        <v>9</v>
      </c>
      <c r="E1866" t="str">
        <f>VLOOKUP(D1866,'Tên SP'!B$2:C$1070,2,0)</f>
        <v>NƯỚC GIẶT LIX ĐẬM ĐẶC 3,5KG/T04 TÚI</v>
      </c>
      <c r="F1866" s="4">
        <v>88000</v>
      </c>
      <c r="G1866">
        <v>1</v>
      </c>
      <c r="H1866" s="4">
        <v>88000</v>
      </c>
      <c r="I1866" s="4">
        <v>0</v>
      </c>
      <c r="J1866" s="5">
        <f t="shared" si="29"/>
        <v>88000</v>
      </c>
    </row>
    <row r="1867" spans="1:10" x14ac:dyDescent="0.25">
      <c r="A1867" s="6">
        <v>1878</v>
      </c>
      <c r="B1867" t="s">
        <v>2695</v>
      </c>
      <c r="C1867" t="s">
        <v>1446</v>
      </c>
      <c r="D1867" t="s">
        <v>106</v>
      </c>
      <c r="E1867" t="str">
        <f>VLOOKUP(D1867,'Tên SP'!B$2:C$1070,2,0)</f>
        <v>NƯỚC GIẶT LIX SIÊU SẠCH HOA ANH ĐÀO 2.4KG/T06</v>
      </c>
      <c r="F1867" s="4">
        <v>75000</v>
      </c>
      <c r="G1867">
        <v>1</v>
      </c>
      <c r="H1867" s="4">
        <v>75000</v>
      </c>
      <c r="I1867" s="4">
        <v>-3000</v>
      </c>
      <c r="J1867" s="5">
        <f t="shared" si="29"/>
        <v>72000</v>
      </c>
    </row>
    <row r="1868" spans="1:10" x14ac:dyDescent="0.25">
      <c r="A1868" s="6">
        <v>1879</v>
      </c>
      <c r="B1868" t="s">
        <v>2695</v>
      </c>
      <c r="C1868" t="s">
        <v>1446</v>
      </c>
      <c r="D1868" t="s">
        <v>9</v>
      </c>
      <c r="E1868" t="str">
        <f>VLOOKUP(D1868,'Tên SP'!B$2:C$1070,2,0)</f>
        <v>NƯỚC GIẶT LIX ĐẬM ĐẶC 3,5KG/T04 TÚI</v>
      </c>
      <c r="F1868" s="4">
        <v>88000</v>
      </c>
      <c r="G1868">
        <v>1</v>
      </c>
      <c r="H1868" s="4">
        <v>88000</v>
      </c>
      <c r="I1868" s="4">
        <v>-3520</v>
      </c>
      <c r="J1868" s="5">
        <f t="shared" si="29"/>
        <v>84480</v>
      </c>
    </row>
    <row r="1869" spans="1:10" x14ac:dyDescent="0.25">
      <c r="A1869" s="6">
        <v>1880</v>
      </c>
      <c r="B1869" t="s">
        <v>2696</v>
      </c>
      <c r="C1869" t="s">
        <v>1447</v>
      </c>
      <c r="D1869" t="s">
        <v>9</v>
      </c>
      <c r="E1869" t="str">
        <f>VLOOKUP(D1869,'Tên SP'!B$2:C$1070,2,0)</f>
        <v>NƯỚC GIẶT LIX ĐẬM ĐẶC 3,5KG/T04 TÚI</v>
      </c>
      <c r="F1869" s="4">
        <v>88000</v>
      </c>
      <c r="G1869">
        <v>1</v>
      </c>
      <c r="H1869" s="4">
        <v>88000</v>
      </c>
      <c r="I1869" s="4">
        <v>-11020</v>
      </c>
      <c r="J1869" s="5">
        <f t="shared" si="29"/>
        <v>76980</v>
      </c>
    </row>
    <row r="1870" spans="1:10" x14ac:dyDescent="0.25">
      <c r="A1870" s="6">
        <v>1881</v>
      </c>
      <c r="B1870" t="s">
        <v>2696</v>
      </c>
      <c r="C1870" t="s">
        <v>1447</v>
      </c>
      <c r="D1870" t="s">
        <v>9</v>
      </c>
      <c r="E1870" t="str">
        <f>VLOOKUP(D1870,'Tên SP'!B$2:C$1070,2,0)</f>
        <v>NƯỚC GIẶT LIX ĐẬM ĐẶC 3,5KG/T04 TÚI</v>
      </c>
      <c r="F1870" s="4">
        <v>88000</v>
      </c>
      <c r="G1870">
        <v>1</v>
      </c>
      <c r="H1870" s="4">
        <v>88000</v>
      </c>
      <c r="I1870" s="4">
        <v>-11020</v>
      </c>
      <c r="J1870" s="5">
        <f t="shared" si="29"/>
        <v>76980</v>
      </c>
    </row>
    <row r="1871" spans="1:10" x14ac:dyDescent="0.25">
      <c r="A1871" s="6">
        <v>1882</v>
      </c>
      <c r="B1871" t="s">
        <v>2697</v>
      </c>
      <c r="C1871" t="s">
        <v>1448</v>
      </c>
      <c r="D1871" t="s">
        <v>9</v>
      </c>
      <c r="E1871" t="str">
        <f>VLOOKUP(D1871,'Tên SP'!B$2:C$1070,2,0)</f>
        <v>NƯỚC GIẶT LIX ĐẬM ĐẶC 3,5KG/T04 TÚI</v>
      </c>
      <c r="F1871" s="4">
        <v>88000</v>
      </c>
      <c r="G1871">
        <v>1</v>
      </c>
      <c r="H1871" s="4">
        <v>88000</v>
      </c>
      <c r="I1871" s="4">
        <v>0</v>
      </c>
      <c r="J1871" s="5">
        <f t="shared" si="29"/>
        <v>88000</v>
      </c>
    </row>
    <row r="1872" spans="1:10" x14ac:dyDescent="0.25">
      <c r="A1872" s="6">
        <v>1883</v>
      </c>
      <c r="B1872" t="s">
        <v>2698</v>
      </c>
      <c r="C1872" t="s">
        <v>1449</v>
      </c>
      <c r="D1872" t="s">
        <v>144</v>
      </c>
      <c r="E1872" t="str">
        <f>VLOOKUP(D1872,'Tên SP'!B$2:C$1070,2,0)</f>
        <v>NƯỚC RỬA CHÉN ON1 TINH DẦU GỪNG SẢ 1KG/CH12</v>
      </c>
      <c r="F1872" s="4">
        <v>59000</v>
      </c>
      <c r="G1872">
        <v>1</v>
      </c>
      <c r="H1872" s="4">
        <v>59000</v>
      </c>
      <c r="I1872" s="4">
        <v>-20060</v>
      </c>
      <c r="J1872" s="5">
        <f t="shared" si="29"/>
        <v>38940</v>
      </c>
    </row>
    <row r="1873" spans="1:10" x14ac:dyDescent="0.25">
      <c r="A1873" s="6">
        <v>1884</v>
      </c>
      <c r="B1873" t="s">
        <v>2698</v>
      </c>
      <c r="C1873" t="s">
        <v>1449</v>
      </c>
      <c r="D1873" t="s">
        <v>144</v>
      </c>
      <c r="E1873" t="str">
        <f>VLOOKUP(D1873,'Tên SP'!B$2:C$1070,2,0)</f>
        <v>NƯỚC RỬA CHÉN ON1 TINH DẦU GỪNG SẢ 1KG/CH12</v>
      </c>
      <c r="F1873" s="4">
        <v>59000</v>
      </c>
      <c r="G1873">
        <v>1</v>
      </c>
      <c r="H1873" s="4">
        <v>59000</v>
      </c>
      <c r="I1873" s="4">
        <v>-20060</v>
      </c>
      <c r="J1873" s="5">
        <f t="shared" si="29"/>
        <v>38940</v>
      </c>
    </row>
    <row r="1874" spans="1:10" x14ac:dyDescent="0.25">
      <c r="A1874" s="6">
        <v>1885</v>
      </c>
      <c r="B1874" t="s">
        <v>2699</v>
      </c>
      <c r="C1874" t="s">
        <v>1450</v>
      </c>
      <c r="D1874" t="s">
        <v>104</v>
      </c>
      <c r="E1874" t="str">
        <f>VLOOKUP(D1874,'Tên SP'!B$2:C$1070,2,0)</f>
        <v>NƯỚC GIẶT LIX ĐẬM ĐẶC 2KG/C06</v>
      </c>
      <c r="F1874" s="4">
        <v>69000</v>
      </c>
      <c r="G1874">
        <v>1</v>
      </c>
      <c r="H1874" s="4">
        <v>69000</v>
      </c>
      <c r="I1874" s="4">
        <v>-10350</v>
      </c>
      <c r="J1874" s="5">
        <f t="shared" si="29"/>
        <v>58650</v>
      </c>
    </row>
    <row r="1875" spans="1:10" x14ac:dyDescent="0.25">
      <c r="A1875" s="6">
        <v>1886</v>
      </c>
      <c r="B1875" t="s">
        <v>2700</v>
      </c>
      <c r="C1875" t="s">
        <v>1451</v>
      </c>
      <c r="D1875" t="s">
        <v>9</v>
      </c>
      <c r="E1875" t="str">
        <f>VLOOKUP(D1875,'Tên SP'!B$2:C$1070,2,0)</f>
        <v>NƯỚC GIẶT LIX ĐẬM ĐẶC 3,5KG/T04 TÚI</v>
      </c>
      <c r="F1875" s="4">
        <v>88000</v>
      </c>
      <c r="G1875">
        <v>1</v>
      </c>
      <c r="H1875" s="4">
        <v>88000</v>
      </c>
      <c r="I1875" s="4">
        <v>0</v>
      </c>
      <c r="J1875" s="5">
        <f t="shared" si="29"/>
        <v>88000</v>
      </c>
    </row>
    <row r="1876" spans="1:10" x14ac:dyDescent="0.25">
      <c r="A1876" s="6">
        <v>1887</v>
      </c>
      <c r="B1876" t="s">
        <v>2700</v>
      </c>
      <c r="C1876" t="s">
        <v>1452</v>
      </c>
      <c r="D1876" t="s">
        <v>9</v>
      </c>
      <c r="E1876" t="str">
        <f>VLOOKUP(D1876,'Tên SP'!B$2:C$1070,2,0)</f>
        <v>NƯỚC GIẶT LIX ĐẬM ĐẶC 3,5KG/T04 TÚI</v>
      </c>
      <c r="F1876" s="4">
        <v>88000</v>
      </c>
      <c r="G1876">
        <v>1</v>
      </c>
      <c r="H1876" s="4">
        <v>88000</v>
      </c>
      <c r="I1876" s="4">
        <v>-11020</v>
      </c>
      <c r="J1876" s="5">
        <f t="shared" si="29"/>
        <v>76980</v>
      </c>
    </row>
    <row r="1877" spans="1:10" x14ac:dyDescent="0.25">
      <c r="A1877" s="6">
        <v>1888</v>
      </c>
      <c r="B1877" t="s">
        <v>2700</v>
      </c>
      <c r="C1877" t="s">
        <v>1452</v>
      </c>
      <c r="D1877" t="s">
        <v>9</v>
      </c>
      <c r="E1877" t="str">
        <f>VLOOKUP(D1877,'Tên SP'!B$2:C$1070,2,0)</f>
        <v>NƯỚC GIẶT LIX ĐẬM ĐẶC 3,5KG/T04 TÚI</v>
      </c>
      <c r="F1877" s="4">
        <v>88000</v>
      </c>
      <c r="G1877">
        <v>1</v>
      </c>
      <c r="H1877" s="4">
        <v>88000</v>
      </c>
      <c r="I1877" s="4">
        <v>-11020</v>
      </c>
      <c r="J1877" s="5">
        <f t="shared" si="29"/>
        <v>76980</v>
      </c>
    </row>
    <row r="1878" spans="1:10" x14ac:dyDescent="0.25">
      <c r="A1878" s="6">
        <v>1889</v>
      </c>
      <c r="B1878" t="s">
        <v>2701</v>
      </c>
      <c r="C1878" t="s">
        <v>1453</v>
      </c>
      <c r="D1878" t="s">
        <v>36</v>
      </c>
      <c r="E1878" t="str">
        <f>VLOOKUP(D1878,'Tên SP'!B$2:C$1070,2,0)</f>
        <v>BỘT GIẶT LIXE HƯƠNG NƯỚC HOA 7KG/02</v>
      </c>
      <c r="F1878" s="4">
        <v>179000</v>
      </c>
      <c r="G1878">
        <v>1</v>
      </c>
      <c r="H1878" s="4">
        <v>179000</v>
      </c>
      <c r="I1878" s="4">
        <v>-15000</v>
      </c>
      <c r="J1878" s="5">
        <f t="shared" si="29"/>
        <v>164000</v>
      </c>
    </row>
    <row r="1879" spans="1:10" x14ac:dyDescent="0.25">
      <c r="A1879" s="6">
        <v>1890</v>
      </c>
      <c r="B1879" t="s">
        <v>2702</v>
      </c>
      <c r="C1879" t="s">
        <v>1454</v>
      </c>
      <c r="D1879" t="s">
        <v>9</v>
      </c>
      <c r="E1879" t="str">
        <f>VLOOKUP(D1879,'Tên SP'!B$2:C$1070,2,0)</f>
        <v>NƯỚC GIẶT LIX ĐẬM ĐẶC 3,5KG/T04 TÚI</v>
      </c>
      <c r="F1879" s="4">
        <v>88000</v>
      </c>
      <c r="G1879">
        <v>1</v>
      </c>
      <c r="H1879" s="4">
        <v>88000</v>
      </c>
      <c r="I1879" s="4">
        <v>0</v>
      </c>
      <c r="J1879" s="5">
        <f t="shared" si="29"/>
        <v>88000</v>
      </c>
    </row>
    <row r="1880" spans="1:10" x14ac:dyDescent="0.25">
      <c r="A1880" s="6">
        <v>1891</v>
      </c>
      <c r="B1880" t="s">
        <v>2703</v>
      </c>
      <c r="C1880" t="s">
        <v>1455</v>
      </c>
      <c r="D1880" t="s">
        <v>9</v>
      </c>
      <c r="E1880" t="str">
        <f>VLOOKUP(D1880,'Tên SP'!B$2:C$1070,2,0)</f>
        <v>NƯỚC GIẶT LIX ĐẬM ĐẶC 3,5KG/T04 TÚI</v>
      </c>
      <c r="F1880" s="4">
        <v>88000</v>
      </c>
      <c r="G1880">
        <v>1</v>
      </c>
      <c r="H1880" s="4">
        <v>88000</v>
      </c>
      <c r="I1880" s="4">
        <v>-3520</v>
      </c>
      <c r="J1880" s="5">
        <f t="shared" si="29"/>
        <v>84480</v>
      </c>
    </row>
    <row r="1881" spans="1:10" x14ac:dyDescent="0.25">
      <c r="A1881" s="6">
        <v>1892</v>
      </c>
      <c r="B1881" t="s">
        <v>2703</v>
      </c>
      <c r="C1881" t="s">
        <v>1455</v>
      </c>
      <c r="D1881" t="s">
        <v>9</v>
      </c>
      <c r="E1881" t="str">
        <f>VLOOKUP(D1881,'Tên SP'!B$2:C$1070,2,0)</f>
        <v>NƯỚC GIẶT LIX ĐẬM ĐẶC 3,5KG/T04 TÚI</v>
      </c>
      <c r="F1881" s="4">
        <v>88000</v>
      </c>
      <c r="G1881">
        <v>1</v>
      </c>
      <c r="H1881" s="4">
        <v>88000</v>
      </c>
      <c r="I1881" s="4">
        <v>-3520</v>
      </c>
      <c r="J1881" s="5">
        <f t="shared" si="29"/>
        <v>84480</v>
      </c>
    </row>
    <row r="1882" spans="1:10" x14ac:dyDescent="0.25">
      <c r="A1882" s="6">
        <v>1893</v>
      </c>
      <c r="B1882" t="s">
        <v>2704</v>
      </c>
      <c r="C1882" t="s">
        <v>1456</v>
      </c>
      <c r="D1882" t="s">
        <v>9</v>
      </c>
      <c r="E1882" t="str">
        <f>VLOOKUP(D1882,'Tên SP'!B$2:C$1070,2,0)</f>
        <v>NƯỚC GIẶT LIX ĐẬM ĐẶC 3,5KG/T04 TÚI</v>
      </c>
      <c r="F1882" s="4">
        <v>88000</v>
      </c>
      <c r="G1882">
        <v>1</v>
      </c>
      <c r="H1882" s="4">
        <v>88000</v>
      </c>
      <c r="I1882" s="4">
        <v>-13200</v>
      </c>
      <c r="J1882" s="5">
        <f t="shared" si="29"/>
        <v>74800</v>
      </c>
    </row>
    <row r="1883" spans="1:10" x14ac:dyDescent="0.25">
      <c r="A1883" s="6">
        <v>1894</v>
      </c>
      <c r="B1883" t="s">
        <v>2705</v>
      </c>
      <c r="C1883" t="s">
        <v>1457</v>
      </c>
      <c r="D1883" t="s">
        <v>9</v>
      </c>
      <c r="E1883" t="str">
        <f>VLOOKUP(D1883,'Tên SP'!B$2:C$1070,2,0)</f>
        <v>NƯỚC GIẶT LIX ĐẬM ĐẶC 3,5KG/T04 TÚI</v>
      </c>
      <c r="F1883" s="4">
        <v>88000</v>
      </c>
      <c r="G1883">
        <v>1</v>
      </c>
      <c r="H1883" s="4">
        <v>88000</v>
      </c>
      <c r="I1883" s="4">
        <v>-13200</v>
      </c>
      <c r="J1883" s="5">
        <f t="shared" si="29"/>
        <v>74800</v>
      </c>
    </row>
    <row r="1884" spans="1:10" x14ac:dyDescent="0.25">
      <c r="A1884" s="6">
        <v>1895</v>
      </c>
      <c r="B1884" t="s">
        <v>2706</v>
      </c>
      <c r="C1884" t="s">
        <v>1458</v>
      </c>
      <c r="D1884" t="s">
        <v>152</v>
      </c>
      <c r="E1884" t="str">
        <f>VLOOKUP(D1884,'Tên SP'!B$2:C$1070,2,0)</f>
        <v>NƯỚC GIẶT ON1 CHỐNG LEM MÀU FRESH SAKURA 3,5KG/T04 (TÚI)</v>
      </c>
      <c r="F1884" s="4">
        <v>150000</v>
      </c>
      <c r="G1884">
        <v>1</v>
      </c>
      <c r="H1884" s="4">
        <v>150000</v>
      </c>
      <c r="I1884" s="4">
        <v>-60000</v>
      </c>
      <c r="J1884" s="5">
        <f t="shared" si="29"/>
        <v>90000</v>
      </c>
    </row>
    <row r="1885" spans="1:10" x14ac:dyDescent="0.25">
      <c r="A1885" s="6">
        <v>1896</v>
      </c>
      <c r="B1885" t="s">
        <v>2707</v>
      </c>
      <c r="C1885" t="s">
        <v>1459</v>
      </c>
      <c r="D1885" t="s">
        <v>9</v>
      </c>
      <c r="E1885" t="str">
        <f>VLOOKUP(D1885,'Tên SP'!B$2:C$1070,2,0)</f>
        <v>NƯỚC GIẶT LIX ĐẬM ĐẶC 3,5KG/T04 TÚI</v>
      </c>
      <c r="F1885" s="4">
        <v>88000</v>
      </c>
      <c r="G1885">
        <v>1</v>
      </c>
      <c r="H1885" s="4">
        <v>88000</v>
      </c>
      <c r="I1885" s="4">
        <v>-13200</v>
      </c>
      <c r="J1885" s="5">
        <f t="shared" si="29"/>
        <v>74800</v>
      </c>
    </row>
    <row r="1886" spans="1:10" x14ac:dyDescent="0.25">
      <c r="A1886" s="6">
        <v>1897</v>
      </c>
      <c r="B1886" t="s">
        <v>2708</v>
      </c>
      <c r="C1886" t="s">
        <v>1460</v>
      </c>
      <c r="D1886" t="s">
        <v>9</v>
      </c>
      <c r="E1886" t="str">
        <f>VLOOKUP(D1886,'Tên SP'!B$2:C$1070,2,0)</f>
        <v>NƯỚC GIẶT LIX ĐẬM ĐẶC 3,5KG/T04 TÚI</v>
      </c>
      <c r="F1886" s="4">
        <v>88000</v>
      </c>
      <c r="G1886">
        <v>1</v>
      </c>
      <c r="H1886" s="4">
        <v>88000</v>
      </c>
      <c r="I1886" s="4">
        <v>0</v>
      </c>
      <c r="J1886" s="5">
        <f t="shared" si="29"/>
        <v>88000</v>
      </c>
    </row>
    <row r="1887" spans="1:10" x14ac:dyDescent="0.25">
      <c r="A1887" s="6">
        <v>1898</v>
      </c>
      <c r="B1887" t="s">
        <v>2709</v>
      </c>
      <c r="C1887" t="s">
        <v>1461</v>
      </c>
      <c r="D1887" t="s">
        <v>9</v>
      </c>
      <c r="E1887" t="str">
        <f>VLOOKUP(D1887,'Tên SP'!B$2:C$1070,2,0)</f>
        <v>NƯỚC GIẶT LIX ĐẬM ĐẶC 3,5KG/T04 TÚI</v>
      </c>
      <c r="F1887" s="4">
        <v>88000</v>
      </c>
      <c r="G1887">
        <v>1</v>
      </c>
      <c r="H1887" s="4">
        <v>88000</v>
      </c>
      <c r="I1887" s="4">
        <v>-13200</v>
      </c>
      <c r="J1887" s="5">
        <f t="shared" si="29"/>
        <v>74800</v>
      </c>
    </row>
    <row r="1888" spans="1:10" x14ac:dyDescent="0.25">
      <c r="A1888" s="6">
        <v>1899</v>
      </c>
      <c r="B1888" t="s">
        <v>2710</v>
      </c>
      <c r="C1888" t="s">
        <v>1462</v>
      </c>
      <c r="D1888" t="s">
        <v>9</v>
      </c>
      <c r="E1888" t="str">
        <f>VLOOKUP(D1888,'Tên SP'!B$2:C$1070,2,0)</f>
        <v>NƯỚC GIẶT LIX ĐẬM ĐẶC 3,5KG/T04 TÚI</v>
      </c>
      <c r="F1888" s="4">
        <v>88000</v>
      </c>
      <c r="G1888">
        <v>1</v>
      </c>
      <c r="H1888" s="4">
        <v>88000</v>
      </c>
      <c r="I1888" s="4">
        <v>-3520</v>
      </c>
      <c r="J1888" s="5">
        <f t="shared" si="29"/>
        <v>84480</v>
      </c>
    </row>
    <row r="1889" spans="1:10" x14ac:dyDescent="0.25">
      <c r="A1889" s="6">
        <v>1900</v>
      </c>
      <c r="B1889" t="s">
        <v>2710</v>
      </c>
      <c r="C1889" t="s">
        <v>1462</v>
      </c>
      <c r="D1889" t="s">
        <v>9</v>
      </c>
      <c r="E1889" t="str">
        <f>VLOOKUP(D1889,'Tên SP'!B$2:C$1070,2,0)</f>
        <v>NƯỚC GIẶT LIX ĐẬM ĐẶC 3,5KG/T04 TÚI</v>
      </c>
      <c r="F1889" s="4">
        <v>88000</v>
      </c>
      <c r="G1889">
        <v>1</v>
      </c>
      <c r="H1889" s="4">
        <v>88000</v>
      </c>
      <c r="I1889" s="4">
        <v>-3520</v>
      </c>
      <c r="J1889" s="5">
        <f t="shared" si="29"/>
        <v>84480</v>
      </c>
    </row>
    <row r="1890" spans="1:10" x14ac:dyDescent="0.25">
      <c r="A1890" s="6">
        <v>1901</v>
      </c>
      <c r="B1890" t="s">
        <v>2711</v>
      </c>
      <c r="C1890" t="s">
        <v>1463</v>
      </c>
      <c r="D1890" t="s">
        <v>9</v>
      </c>
      <c r="E1890" t="str">
        <f>VLOOKUP(D1890,'Tên SP'!B$2:C$1070,2,0)</f>
        <v>NƯỚC GIẶT LIX ĐẬM ĐẶC 3,5KG/T04 TÚI</v>
      </c>
      <c r="F1890" s="4">
        <v>88000</v>
      </c>
      <c r="G1890">
        <v>1</v>
      </c>
      <c r="H1890" s="4">
        <v>88000</v>
      </c>
      <c r="I1890" s="4">
        <v>0</v>
      </c>
      <c r="J1890" s="5">
        <f t="shared" si="29"/>
        <v>88000</v>
      </c>
    </row>
    <row r="1891" spans="1:10" x14ac:dyDescent="0.25">
      <c r="A1891" s="6">
        <v>1902</v>
      </c>
      <c r="B1891" t="s">
        <v>2712</v>
      </c>
      <c r="C1891" t="s">
        <v>1464</v>
      </c>
      <c r="D1891" t="s">
        <v>9</v>
      </c>
      <c r="E1891" t="str">
        <f>VLOOKUP(D1891,'Tên SP'!B$2:C$1070,2,0)</f>
        <v>NƯỚC GIẶT LIX ĐẬM ĐẶC 3,5KG/T04 TÚI</v>
      </c>
      <c r="F1891" s="4">
        <v>88000</v>
      </c>
      <c r="G1891">
        <v>1</v>
      </c>
      <c r="H1891" s="4">
        <v>88000</v>
      </c>
      <c r="I1891" s="4">
        <v>0</v>
      </c>
      <c r="J1891" s="5">
        <f t="shared" si="29"/>
        <v>88000</v>
      </c>
    </row>
    <row r="1892" spans="1:10" x14ac:dyDescent="0.25">
      <c r="A1892" s="6">
        <v>1903</v>
      </c>
      <c r="B1892" t="s">
        <v>2713</v>
      </c>
      <c r="C1892" t="s">
        <v>1465</v>
      </c>
      <c r="D1892" t="s">
        <v>9</v>
      </c>
      <c r="E1892" t="str">
        <f>VLOOKUP(D1892,'Tên SP'!B$2:C$1070,2,0)</f>
        <v>NƯỚC GIẶT LIX ĐẬM ĐẶC 3,5KG/T04 TÚI</v>
      </c>
      <c r="F1892" s="4">
        <v>88000</v>
      </c>
      <c r="G1892">
        <v>1</v>
      </c>
      <c r="H1892" s="4">
        <v>88000</v>
      </c>
      <c r="I1892" s="4">
        <v>-13200</v>
      </c>
      <c r="J1892" s="5">
        <f t="shared" si="29"/>
        <v>74800</v>
      </c>
    </row>
    <row r="1893" spans="1:10" x14ac:dyDescent="0.25">
      <c r="A1893" s="6">
        <v>1904</v>
      </c>
      <c r="B1893" t="s">
        <v>2714</v>
      </c>
      <c r="C1893" t="s">
        <v>1466</v>
      </c>
      <c r="D1893" t="s">
        <v>9</v>
      </c>
      <c r="E1893" t="str">
        <f>VLOOKUP(D1893,'Tên SP'!B$2:C$1070,2,0)</f>
        <v>NƯỚC GIẶT LIX ĐẬM ĐẶC 3,5KG/T04 TÚI</v>
      </c>
      <c r="F1893" s="4">
        <v>88000</v>
      </c>
      <c r="G1893">
        <v>1</v>
      </c>
      <c r="H1893" s="4">
        <v>88000</v>
      </c>
      <c r="I1893" s="4">
        <v>-13200</v>
      </c>
      <c r="J1893" s="5">
        <f t="shared" si="29"/>
        <v>74800</v>
      </c>
    </row>
    <row r="1894" spans="1:10" x14ac:dyDescent="0.25">
      <c r="A1894" s="6">
        <v>1905</v>
      </c>
      <c r="B1894" t="s">
        <v>2715</v>
      </c>
      <c r="C1894" t="s">
        <v>1467</v>
      </c>
      <c r="D1894" t="s">
        <v>9</v>
      </c>
      <c r="E1894" t="str">
        <f>VLOOKUP(D1894,'Tên SP'!B$2:C$1070,2,0)</f>
        <v>NƯỚC GIẶT LIX ĐẬM ĐẶC 3,5KG/T04 TÚI</v>
      </c>
      <c r="F1894" s="4">
        <v>88000</v>
      </c>
      <c r="G1894">
        <v>1</v>
      </c>
      <c r="H1894" s="4">
        <v>88000</v>
      </c>
      <c r="I1894" s="4">
        <v>-13200</v>
      </c>
      <c r="J1894" s="5">
        <f t="shared" si="29"/>
        <v>74800</v>
      </c>
    </row>
    <row r="1895" spans="1:10" x14ac:dyDescent="0.25">
      <c r="A1895" s="6">
        <v>1906</v>
      </c>
      <c r="B1895" t="s">
        <v>2716</v>
      </c>
      <c r="C1895" t="s">
        <v>1468</v>
      </c>
      <c r="D1895" t="s">
        <v>42</v>
      </c>
      <c r="E1895" t="str">
        <f>VLOOKUP(D1895,'Tên SP'!B$2:C$1070,2,0)</f>
        <v>BỘT GIẶT LIXE HƯƠNG NƯỚC HOA 2,4KG/05</v>
      </c>
      <c r="F1895" s="4">
        <v>68000</v>
      </c>
      <c r="G1895">
        <v>1</v>
      </c>
      <c r="H1895" s="4">
        <v>68000</v>
      </c>
      <c r="I1895" s="4">
        <v>-10200</v>
      </c>
      <c r="J1895" s="5">
        <f t="shared" si="29"/>
        <v>57800</v>
      </c>
    </row>
    <row r="1896" spans="1:10" x14ac:dyDescent="0.25">
      <c r="A1896" s="6">
        <v>1907</v>
      </c>
      <c r="B1896" t="s">
        <v>2717</v>
      </c>
      <c r="C1896" t="s">
        <v>1469</v>
      </c>
      <c r="D1896" t="s">
        <v>9</v>
      </c>
      <c r="E1896" t="str">
        <f>VLOOKUP(D1896,'Tên SP'!B$2:C$1070,2,0)</f>
        <v>NƯỚC GIẶT LIX ĐẬM ĐẶC 3,5KG/T04 TÚI</v>
      </c>
      <c r="F1896" s="4">
        <v>88000</v>
      </c>
      <c r="G1896">
        <v>1</v>
      </c>
      <c r="H1896" s="4">
        <v>88000</v>
      </c>
      <c r="I1896" s="4">
        <v>0</v>
      </c>
      <c r="J1896" s="5">
        <f t="shared" si="29"/>
        <v>88000</v>
      </c>
    </row>
    <row r="1897" spans="1:10" x14ac:dyDescent="0.25">
      <c r="A1897" s="6">
        <v>1908</v>
      </c>
      <c r="B1897" t="s">
        <v>2718</v>
      </c>
      <c r="C1897" t="s">
        <v>1470</v>
      </c>
      <c r="D1897" t="s">
        <v>9</v>
      </c>
      <c r="E1897" t="str">
        <f>VLOOKUP(D1897,'Tên SP'!B$2:C$1070,2,0)</f>
        <v>NƯỚC GIẶT LIX ĐẬM ĐẶC 3,5KG/T04 TÚI</v>
      </c>
      <c r="F1897" s="4">
        <v>88000</v>
      </c>
      <c r="G1897">
        <v>1</v>
      </c>
      <c r="H1897" s="4">
        <v>88000</v>
      </c>
      <c r="I1897" s="4">
        <v>-5000</v>
      </c>
      <c r="J1897" s="5">
        <f t="shared" si="29"/>
        <v>83000</v>
      </c>
    </row>
    <row r="1898" spans="1:10" x14ac:dyDescent="0.25">
      <c r="A1898" s="6">
        <v>1909</v>
      </c>
      <c r="B1898" t="s">
        <v>2718</v>
      </c>
      <c r="C1898" t="s">
        <v>1470</v>
      </c>
      <c r="D1898" t="s">
        <v>9</v>
      </c>
      <c r="E1898" t="str">
        <f>VLOOKUP(D1898,'Tên SP'!B$2:C$1070,2,0)</f>
        <v>NƯỚC GIẶT LIX ĐẬM ĐẶC 3,5KG/T04 TÚI</v>
      </c>
      <c r="F1898" s="4">
        <v>88000</v>
      </c>
      <c r="G1898">
        <v>1</v>
      </c>
      <c r="H1898" s="4">
        <v>88000</v>
      </c>
      <c r="I1898" s="4">
        <v>-5000</v>
      </c>
      <c r="J1898" s="5">
        <f t="shared" si="29"/>
        <v>83000</v>
      </c>
    </row>
    <row r="1899" spans="1:10" x14ac:dyDescent="0.25">
      <c r="A1899" s="6">
        <v>1910</v>
      </c>
      <c r="B1899" t="s">
        <v>2718</v>
      </c>
      <c r="C1899" t="s">
        <v>1470</v>
      </c>
      <c r="D1899" t="s">
        <v>9</v>
      </c>
      <c r="E1899" t="str">
        <f>VLOOKUP(D1899,'Tên SP'!B$2:C$1070,2,0)</f>
        <v>NƯỚC GIẶT LIX ĐẬM ĐẶC 3,5KG/T04 TÚI</v>
      </c>
      <c r="F1899" s="4">
        <v>88000</v>
      </c>
      <c r="G1899">
        <v>1</v>
      </c>
      <c r="H1899" s="4">
        <v>88000</v>
      </c>
      <c r="I1899" s="4">
        <v>-5000</v>
      </c>
      <c r="J1899" s="5">
        <f t="shared" si="29"/>
        <v>83000</v>
      </c>
    </row>
    <row r="1900" spans="1:10" x14ac:dyDescent="0.25">
      <c r="A1900" s="6">
        <v>1911</v>
      </c>
      <c r="B1900" t="s">
        <v>2718</v>
      </c>
      <c r="C1900" t="s">
        <v>1470</v>
      </c>
      <c r="D1900" t="s">
        <v>184</v>
      </c>
      <c r="E1900" t="str">
        <f>VLOOKUP(D1900,'Tên SP'!B$2:C$1070,2,0)</f>
        <v>GEL DIỆT KHUẨN TAY ON1 60ML/CH80</v>
      </c>
      <c r="F1900" s="4">
        <v>25000</v>
      </c>
      <c r="G1900">
        <v>1</v>
      </c>
      <c r="H1900" s="4">
        <v>25000</v>
      </c>
      <c r="I1900" s="4">
        <v>-25000</v>
      </c>
      <c r="J1900" s="5">
        <f t="shared" si="29"/>
        <v>0</v>
      </c>
    </row>
    <row r="1901" spans="1:10" x14ac:dyDescent="0.25">
      <c r="A1901" s="6">
        <v>1912</v>
      </c>
      <c r="B1901" t="s">
        <v>2719</v>
      </c>
      <c r="C1901" t="s">
        <v>1471</v>
      </c>
      <c r="D1901" t="s">
        <v>9</v>
      </c>
      <c r="E1901" t="str">
        <f>VLOOKUP(D1901,'Tên SP'!B$2:C$1070,2,0)</f>
        <v>NƯỚC GIẶT LIX ĐẬM ĐẶC 3,5KG/T04 TÚI</v>
      </c>
      <c r="F1901" s="4">
        <v>88000</v>
      </c>
      <c r="G1901">
        <v>1</v>
      </c>
      <c r="H1901" s="4">
        <v>88000</v>
      </c>
      <c r="I1901" s="4">
        <v>-11020</v>
      </c>
      <c r="J1901" s="5">
        <f t="shared" si="29"/>
        <v>76980</v>
      </c>
    </row>
    <row r="1902" spans="1:10" x14ac:dyDescent="0.25">
      <c r="A1902" s="6">
        <v>1913</v>
      </c>
      <c r="B1902" t="s">
        <v>2719</v>
      </c>
      <c r="C1902" t="s">
        <v>1471</v>
      </c>
      <c r="D1902" t="s">
        <v>9</v>
      </c>
      <c r="E1902" t="str">
        <f>VLOOKUP(D1902,'Tên SP'!B$2:C$1070,2,0)</f>
        <v>NƯỚC GIẶT LIX ĐẬM ĐẶC 3,5KG/T04 TÚI</v>
      </c>
      <c r="F1902" s="4">
        <v>88000</v>
      </c>
      <c r="G1902">
        <v>1</v>
      </c>
      <c r="H1902" s="4">
        <v>88000</v>
      </c>
      <c r="I1902" s="4">
        <v>-11020</v>
      </c>
      <c r="J1902" s="5">
        <f t="shared" si="29"/>
        <v>76980</v>
      </c>
    </row>
    <row r="1903" spans="1:10" x14ac:dyDescent="0.25">
      <c r="A1903" s="6">
        <v>1914</v>
      </c>
      <c r="B1903" t="s">
        <v>2720</v>
      </c>
      <c r="C1903" t="s">
        <v>1472</v>
      </c>
      <c r="D1903" t="s">
        <v>9</v>
      </c>
      <c r="E1903" t="str">
        <f>VLOOKUP(D1903,'Tên SP'!B$2:C$1070,2,0)</f>
        <v>NƯỚC GIẶT LIX ĐẬM ĐẶC 3,5KG/T04 TÚI</v>
      </c>
      <c r="F1903" s="4">
        <v>88000</v>
      </c>
      <c r="G1903">
        <v>1</v>
      </c>
      <c r="H1903" s="4">
        <v>88000</v>
      </c>
      <c r="I1903" s="4">
        <v>0</v>
      </c>
      <c r="J1903" s="5">
        <f t="shared" si="29"/>
        <v>88000</v>
      </c>
    </row>
    <row r="1904" spans="1:10" x14ac:dyDescent="0.25">
      <c r="A1904" s="6">
        <v>1915</v>
      </c>
      <c r="B1904" t="s">
        <v>2721</v>
      </c>
      <c r="C1904" t="s">
        <v>1473</v>
      </c>
      <c r="D1904" t="s">
        <v>9</v>
      </c>
      <c r="E1904" t="str">
        <f>VLOOKUP(D1904,'Tên SP'!B$2:C$1070,2,0)</f>
        <v>NƯỚC GIẶT LIX ĐẬM ĐẶC 3,5KG/T04 TÚI</v>
      </c>
      <c r="F1904" s="4">
        <v>88000</v>
      </c>
      <c r="G1904">
        <v>1</v>
      </c>
      <c r="H1904" s="4">
        <v>88000</v>
      </c>
      <c r="I1904" s="4">
        <v>0</v>
      </c>
      <c r="J1904" s="5">
        <f t="shared" si="29"/>
        <v>88000</v>
      </c>
    </row>
    <row r="1905" spans="1:10" x14ac:dyDescent="0.25">
      <c r="A1905" s="6">
        <v>1916</v>
      </c>
      <c r="B1905" t="s">
        <v>2722</v>
      </c>
      <c r="C1905" t="s">
        <v>1474</v>
      </c>
      <c r="D1905" t="s">
        <v>28</v>
      </c>
      <c r="E1905" t="str">
        <f>VLOOKUP(D1905,'Tên SP'!B$2:C$1070,2,0)</f>
        <v>NƯỚC XẢ VẢI LIXSOFT HƯƠNG HOA HỒNG 3,6L/C04</v>
      </c>
      <c r="F1905" s="4">
        <v>92000</v>
      </c>
      <c r="G1905">
        <v>1</v>
      </c>
      <c r="H1905" s="4">
        <v>92000</v>
      </c>
      <c r="I1905" s="4">
        <v>0</v>
      </c>
      <c r="J1905" s="5">
        <f t="shared" si="29"/>
        <v>92000</v>
      </c>
    </row>
    <row r="1906" spans="1:10" x14ac:dyDescent="0.25">
      <c r="A1906" s="6">
        <v>1917</v>
      </c>
      <c r="B1906" t="s">
        <v>2723</v>
      </c>
      <c r="C1906" t="s">
        <v>1475</v>
      </c>
      <c r="D1906" t="s">
        <v>9</v>
      </c>
      <c r="E1906" t="str">
        <f>VLOOKUP(D1906,'Tên SP'!B$2:C$1070,2,0)</f>
        <v>NƯỚC GIẶT LIX ĐẬM ĐẶC 3,5KG/T04 TÚI</v>
      </c>
      <c r="F1906" s="4">
        <v>88000</v>
      </c>
      <c r="G1906">
        <v>1</v>
      </c>
      <c r="H1906" s="4">
        <v>88000</v>
      </c>
      <c r="I1906" s="4">
        <v>0</v>
      </c>
      <c r="J1906" s="5">
        <f t="shared" si="29"/>
        <v>88000</v>
      </c>
    </row>
    <row r="1907" spans="1:10" x14ac:dyDescent="0.25">
      <c r="A1907" s="6">
        <v>1918</v>
      </c>
      <c r="B1907" t="s">
        <v>2724</v>
      </c>
      <c r="C1907" t="s">
        <v>1476</v>
      </c>
      <c r="D1907" t="s">
        <v>9</v>
      </c>
      <c r="E1907" t="str">
        <f>VLOOKUP(D1907,'Tên SP'!B$2:C$1070,2,0)</f>
        <v>NƯỚC GIẶT LIX ĐẬM ĐẶC 3,5KG/T04 TÚI</v>
      </c>
      <c r="F1907" s="4">
        <v>88000</v>
      </c>
      <c r="G1907">
        <v>1</v>
      </c>
      <c r="H1907" s="4">
        <v>88000</v>
      </c>
      <c r="I1907" s="4">
        <v>-6839</v>
      </c>
      <c r="J1907" s="5">
        <f t="shared" si="29"/>
        <v>81161</v>
      </c>
    </row>
    <row r="1908" spans="1:10" x14ac:dyDescent="0.25">
      <c r="A1908" s="6">
        <v>1919</v>
      </c>
      <c r="B1908" t="s">
        <v>2724</v>
      </c>
      <c r="C1908" t="s">
        <v>1476</v>
      </c>
      <c r="D1908" t="s">
        <v>102</v>
      </c>
      <c r="E1908" t="str">
        <f>VLOOKUP(D1908,'Tên SP'!B$2:C$1070,2,0)</f>
        <v>NƯỚC GIẶT LIX HƯƠNG NƯỚC HOA 3,5KG/T04 TÚI</v>
      </c>
      <c r="F1908" s="4">
        <v>105000</v>
      </c>
      <c r="G1908">
        <v>1</v>
      </c>
      <c r="H1908" s="4">
        <v>105000</v>
      </c>
      <c r="I1908" s="4">
        <v>-8161</v>
      </c>
      <c r="J1908" s="5">
        <f t="shared" si="29"/>
        <v>96839</v>
      </c>
    </row>
    <row r="1909" spans="1:10" x14ac:dyDescent="0.25">
      <c r="A1909" s="6">
        <v>1920</v>
      </c>
      <c r="B1909" t="s">
        <v>2724</v>
      </c>
      <c r="C1909" t="s">
        <v>1476</v>
      </c>
      <c r="D1909" t="s">
        <v>184</v>
      </c>
      <c r="E1909" t="str">
        <f>VLOOKUP(D1909,'Tên SP'!B$2:C$1070,2,0)</f>
        <v>GEL DIỆT KHUẨN TAY ON1 60ML/CH80</v>
      </c>
      <c r="F1909" s="4">
        <v>25000</v>
      </c>
      <c r="G1909">
        <v>1</v>
      </c>
      <c r="H1909" s="4">
        <v>25000</v>
      </c>
      <c r="I1909" s="4">
        <v>-25000</v>
      </c>
      <c r="J1909" s="5">
        <f t="shared" si="29"/>
        <v>0</v>
      </c>
    </row>
    <row r="1910" spans="1:10" x14ac:dyDescent="0.25">
      <c r="A1910" s="6">
        <v>1921</v>
      </c>
      <c r="B1910" t="s">
        <v>2725</v>
      </c>
      <c r="C1910" t="s">
        <v>1477</v>
      </c>
      <c r="D1910" t="s">
        <v>77</v>
      </c>
      <c r="E1910" t="str">
        <f>VLOOKUP(D1910,'Tên SP'!B$2:C$1070,2,0)</f>
        <v>NƯỚC RỬA CHÉN SIÊU SẠCH CHANH 1,4KG/C08</v>
      </c>
      <c r="F1910" s="4">
        <v>45000</v>
      </c>
      <c r="G1910">
        <v>1</v>
      </c>
      <c r="H1910" s="4">
        <v>45000</v>
      </c>
      <c r="I1910" s="4">
        <v>-2184</v>
      </c>
      <c r="J1910" s="5">
        <f t="shared" si="29"/>
        <v>42816</v>
      </c>
    </row>
    <row r="1911" spans="1:10" x14ac:dyDescent="0.25">
      <c r="A1911" s="6">
        <v>1922</v>
      </c>
      <c r="B1911" t="s">
        <v>2725</v>
      </c>
      <c r="C1911" t="s">
        <v>1477</v>
      </c>
      <c r="D1911" t="s">
        <v>9</v>
      </c>
      <c r="E1911" t="str">
        <f>VLOOKUP(D1911,'Tên SP'!B$2:C$1070,2,0)</f>
        <v>NƯỚC GIẶT LIX ĐẬM ĐẶC 3,5KG/T04 TÚI</v>
      </c>
      <c r="F1911" s="4">
        <v>88000</v>
      </c>
      <c r="G1911">
        <v>1</v>
      </c>
      <c r="H1911" s="4">
        <v>88000</v>
      </c>
      <c r="I1911" s="4">
        <v>-4272</v>
      </c>
      <c r="J1911" s="5">
        <f t="shared" ref="J1911:J1937" si="30">H1911+I1911</f>
        <v>83728</v>
      </c>
    </row>
    <row r="1912" spans="1:10" x14ac:dyDescent="0.25">
      <c r="A1912" s="6">
        <v>1923</v>
      </c>
      <c r="B1912" t="s">
        <v>2725</v>
      </c>
      <c r="C1912" t="s">
        <v>1477</v>
      </c>
      <c r="D1912" t="s">
        <v>9</v>
      </c>
      <c r="E1912" t="str">
        <f>VLOOKUP(D1912,'Tên SP'!B$2:C$1070,2,0)</f>
        <v>NƯỚC GIẶT LIX ĐẬM ĐẶC 3,5KG/T04 TÚI</v>
      </c>
      <c r="F1912" s="4">
        <v>88000</v>
      </c>
      <c r="G1912">
        <v>1</v>
      </c>
      <c r="H1912" s="4">
        <v>88000</v>
      </c>
      <c r="I1912" s="4">
        <v>-4272</v>
      </c>
      <c r="J1912" s="5">
        <f t="shared" si="30"/>
        <v>83728</v>
      </c>
    </row>
    <row r="1913" spans="1:10" x14ac:dyDescent="0.25">
      <c r="A1913" s="6">
        <v>1924</v>
      </c>
      <c r="B1913" t="s">
        <v>2725</v>
      </c>
      <c r="C1913" t="s">
        <v>1477</v>
      </c>
      <c r="D1913" t="s">
        <v>9</v>
      </c>
      <c r="E1913" t="str">
        <f>VLOOKUP(D1913,'Tên SP'!B$2:C$1070,2,0)</f>
        <v>NƯỚC GIẶT LIX ĐẬM ĐẶC 3,5KG/T04 TÚI</v>
      </c>
      <c r="F1913" s="4">
        <v>88000</v>
      </c>
      <c r="G1913">
        <v>1</v>
      </c>
      <c r="H1913" s="4">
        <v>88000</v>
      </c>
      <c r="I1913" s="4">
        <v>-4272</v>
      </c>
      <c r="J1913" s="5">
        <f t="shared" si="30"/>
        <v>83728</v>
      </c>
    </row>
    <row r="1914" spans="1:10" x14ac:dyDescent="0.25">
      <c r="A1914" s="6">
        <v>1925</v>
      </c>
      <c r="B1914" t="s">
        <v>2725</v>
      </c>
      <c r="C1914" t="s">
        <v>1477</v>
      </c>
      <c r="D1914" t="s">
        <v>184</v>
      </c>
      <c r="E1914" t="str">
        <f>VLOOKUP(D1914,'Tên SP'!B$2:C$1070,2,0)</f>
        <v>GEL DIỆT KHUẨN TAY ON1 60ML/CH80</v>
      </c>
      <c r="F1914" s="4">
        <v>25000</v>
      </c>
      <c r="G1914">
        <v>1</v>
      </c>
      <c r="H1914" s="4">
        <v>25000</v>
      </c>
      <c r="I1914" s="4">
        <v>-25000</v>
      </c>
      <c r="J1914" s="5">
        <f t="shared" si="30"/>
        <v>0</v>
      </c>
    </row>
    <row r="1915" spans="1:10" x14ac:dyDescent="0.25">
      <c r="A1915" s="6">
        <v>1926</v>
      </c>
      <c r="B1915" t="s">
        <v>2726</v>
      </c>
      <c r="C1915" t="s">
        <v>1478</v>
      </c>
      <c r="D1915" t="s">
        <v>9</v>
      </c>
      <c r="E1915" t="str">
        <f>VLOOKUP(D1915,'Tên SP'!B$2:C$1070,2,0)</f>
        <v>NƯỚC GIẶT LIX ĐẬM ĐẶC 3,5KG/T04 TÚI</v>
      </c>
      <c r="F1915" s="4">
        <v>88000</v>
      </c>
      <c r="G1915">
        <v>1</v>
      </c>
      <c r="H1915" s="4">
        <v>88000</v>
      </c>
      <c r="I1915" s="4">
        <v>0</v>
      </c>
      <c r="J1915" s="5">
        <f t="shared" si="30"/>
        <v>88000</v>
      </c>
    </row>
    <row r="1916" spans="1:10" x14ac:dyDescent="0.25">
      <c r="A1916" s="6">
        <v>1927</v>
      </c>
      <c r="B1916" t="s">
        <v>2727</v>
      </c>
      <c r="C1916" t="s">
        <v>1479</v>
      </c>
      <c r="D1916" t="s">
        <v>9</v>
      </c>
      <c r="E1916" t="str">
        <f>VLOOKUP(D1916,'Tên SP'!B$2:C$1070,2,0)</f>
        <v>NƯỚC GIẶT LIX ĐẬM ĐẶC 3,5KG/T04 TÚI</v>
      </c>
      <c r="F1916" s="4">
        <v>88000</v>
      </c>
      <c r="G1916">
        <v>1</v>
      </c>
      <c r="H1916" s="4">
        <v>88000</v>
      </c>
      <c r="I1916" s="4">
        <v>0</v>
      </c>
      <c r="J1916" s="5">
        <f t="shared" si="30"/>
        <v>88000</v>
      </c>
    </row>
    <row r="1917" spans="1:10" x14ac:dyDescent="0.25">
      <c r="A1917" s="6">
        <v>1928</v>
      </c>
      <c r="B1917" t="s">
        <v>2728</v>
      </c>
      <c r="C1917" t="s">
        <v>1480</v>
      </c>
      <c r="D1917" t="s">
        <v>9</v>
      </c>
      <c r="E1917" t="str">
        <f>VLOOKUP(D1917,'Tên SP'!B$2:C$1070,2,0)</f>
        <v>NƯỚC GIẶT LIX ĐẬM ĐẶC 3,5KG/T04 TÚI</v>
      </c>
      <c r="F1917" s="4">
        <v>88000</v>
      </c>
      <c r="G1917">
        <v>1</v>
      </c>
      <c r="H1917" s="4">
        <v>88000</v>
      </c>
      <c r="I1917" s="4">
        <v>-13200</v>
      </c>
      <c r="J1917" s="5">
        <f t="shared" si="30"/>
        <v>74800</v>
      </c>
    </row>
    <row r="1918" spans="1:10" x14ac:dyDescent="0.25">
      <c r="A1918" s="6">
        <v>1929</v>
      </c>
      <c r="B1918" t="s">
        <v>2729</v>
      </c>
      <c r="C1918" t="s">
        <v>1481</v>
      </c>
      <c r="D1918" t="s">
        <v>9</v>
      </c>
      <c r="E1918" t="str">
        <f>VLOOKUP(D1918,'Tên SP'!B$2:C$1070,2,0)</f>
        <v>NƯỚC GIẶT LIX ĐẬM ĐẶC 3,5KG/T04 TÚI</v>
      </c>
      <c r="F1918" s="4">
        <v>88000</v>
      </c>
      <c r="G1918">
        <v>1</v>
      </c>
      <c r="H1918" s="4">
        <v>88000</v>
      </c>
      <c r="I1918" s="4">
        <v>-13200</v>
      </c>
      <c r="J1918" s="5">
        <f t="shared" si="30"/>
        <v>74800</v>
      </c>
    </row>
    <row r="1919" spans="1:10" x14ac:dyDescent="0.25">
      <c r="A1919" s="6">
        <v>1930</v>
      </c>
      <c r="B1919" t="s">
        <v>2730</v>
      </c>
      <c r="C1919" t="s">
        <v>1482</v>
      </c>
      <c r="D1919" t="s">
        <v>9</v>
      </c>
      <c r="E1919" t="str">
        <f>VLOOKUP(D1919,'Tên SP'!B$2:C$1070,2,0)</f>
        <v>NƯỚC GIẶT LIX ĐẬM ĐẶC 3,5KG/T04 TÚI</v>
      </c>
      <c r="F1919" s="4">
        <v>88000</v>
      </c>
      <c r="G1919">
        <v>1</v>
      </c>
      <c r="H1919" s="4">
        <v>88000</v>
      </c>
      <c r="I1919" s="4">
        <v>0</v>
      </c>
      <c r="J1919" s="5">
        <f t="shared" si="30"/>
        <v>88000</v>
      </c>
    </row>
    <row r="1920" spans="1:10" x14ac:dyDescent="0.25">
      <c r="A1920" s="6">
        <v>1931</v>
      </c>
      <c r="B1920" t="s">
        <v>2731</v>
      </c>
      <c r="C1920" t="s">
        <v>1483</v>
      </c>
      <c r="D1920" t="s">
        <v>9</v>
      </c>
      <c r="E1920" t="str">
        <f>VLOOKUP(D1920,'Tên SP'!B$2:C$1070,2,0)</f>
        <v>NƯỚC GIẶT LIX ĐẬM ĐẶC 3,5KG/T04 TÚI</v>
      </c>
      <c r="F1920" s="4">
        <v>88000</v>
      </c>
      <c r="G1920">
        <v>1</v>
      </c>
      <c r="H1920" s="4">
        <v>88000</v>
      </c>
      <c r="I1920" s="4">
        <v>0</v>
      </c>
      <c r="J1920" s="5">
        <f t="shared" si="30"/>
        <v>88000</v>
      </c>
    </row>
    <row r="1921" spans="1:10" x14ac:dyDescent="0.25">
      <c r="A1921" s="6">
        <v>1932</v>
      </c>
      <c r="B1921" t="s">
        <v>2732</v>
      </c>
      <c r="C1921" t="s">
        <v>1484</v>
      </c>
      <c r="D1921" t="s">
        <v>9</v>
      </c>
      <c r="E1921" t="str">
        <f>VLOOKUP(D1921,'Tên SP'!B$2:C$1070,2,0)</f>
        <v>NƯỚC GIẶT LIX ĐẬM ĐẶC 3,5KG/T04 TÚI</v>
      </c>
      <c r="F1921" s="4">
        <v>88000</v>
      </c>
      <c r="G1921">
        <v>1</v>
      </c>
      <c r="H1921" s="4">
        <v>88000</v>
      </c>
      <c r="I1921" s="4">
        <v>0</v>
      </c>
      <c r="J1921" s="5">
        <f t="shared" si="30"/>
        <v>88000</v>
      </c>
    </row>
    <row r="1922" spans="1:10" x14ac:dyDescent="0.25">
      <c r="A1922" s="6">
        <v>1933</v>
      </c>
      <c r="B1922" t="s">
        <v>2733</v>
      </c>
      <c r="C1922" t="s">
        <v>1485</v>
      </c>
      <c r="D1922" t="s">
        <v>9</v>
      </c>
      <c r="E1922" t="str">
        <f>VLOOKUP(D1922,'Tên SP'!B$2:C$1070,2,0)</f>
        <v>NƯỚC GIẶT LIX ĐẬM ĐẶC 3,5KG/T04 TÚI</v>
      </c>
      <c r="F1922" s="4">
        <v>88000</v>
      </c>
      <c r="G1922">
        <v>1</v>
      </c>
      <c r="H1922" s="4">
        <v>88000</v>
      </c>
      <c r="I1922" s="4">
        <v>0</v>
      </c>
      <c r="J1922" s="5">
        <f t="shared" si="30"/>
        <v>88000</v>
      </c>
    </row>
    <row r="1923" spans="1:10" x14ac:dyDescent="0.25">
      <c r="A1923" s="6">
        <v>1934</v>
      </c>
      <c r="B1923" t="s">
        <v>2734</v>
      </c>
      <c r="C1923" t="s">
        <v>1486</v>
      </c>
      <c r="D1923" t="s">
        <v>9</v>
      </c>
      <c r="E1923" t="str">
        <f>VLOOKUP(D1923,'Tên SP'!B$2:C$1070,2,0)</f>
        <v>NƯỚC GIẶT LIX ĐẬM ĐẶC 3,5KG/T04 TÚI</v>
      </c>
      <c r="F1923" s="4">
        <v>88000</v>
      </c>
      <c r="G1923">
        <v>1</v>
      </c>
      <c r="H1923" s="4">
        <v>88000</v>
      </c>
      <c r="I1923" s="4">
        <v>-13200</v>
      </c>
      <c r="J1923" s="5">
        <f t="shared" si="30"/>
        <v>74800</v>
      </c>
    </row>
    <row r="1924" spans="1:10" x14ac:dyDescent="0.25">
      <c r="A1924" s="6">
        <v>1935</v>
      </c>
      <c r="B1924" t="s">
        <v>2735</v>
      </c>
      <c r="C1924" t="s">
        <v>1487</v>
      </c>
      <c r="D1924" t="s">
        <v>9</v>
      </c>
      <c r="E1924" t="str">
        <f>VLOOKUP(D1924,'Tên SP'!B$2:C$1070,2,0)</f>
        <v>NƯỚC GIẶT LIX ĐẬM ĐẶC 3,5KG/T04 TÚI</v>
      </c>
      <c r="F1924" s="4">
        <v>88000</v>
      </c>
      <c r="G1924">
        <v>1</v>
      </c>
      <c r="H1924" s="4">
        <v>88000</v>
      </c>
      <c r="I1924" s="4">
        <v>-3520</v>
      </c>
      <c r="J1924" s="5">
        <f t="shared" si="30"/>
        <v>84480</v>
      </c>
    </row>
    <row r="1925" spans="1:10" x14ac:dyDescent="0.25">
      <c r="A1925" s="6">
        <v>1936</v>
      </c>
      <c r="B1925" t="s">
        <v>2735</v>
      </c>
      <c r="C1925" t="s">
        <v>1487</v>
      </c>
      <c r="D1925" t="s">
        <v>9</v>
      </c>
      <c r="E1925" t="str">
        <f>VLOOKUP(D1925,'Tên SP'!B$2:C$1070,2,0)</f>
        <v>NƯỚC GIẶT LIX ĐẬM ĐẶC 3,5KG/T04 TÚI</v>
      </c>
      <c r="F1925" s="4">
        <v>88000</v>
      </c>
      <c r="G1925">
        <v>1</v>
      </c>
      <c r="H1925" s="4">
        <v>88000</v>
      </c>
      <c r="I1925" s="4">
        <v>-3520</v>
      </c>
      <c r="J1925" s="5">
        <f t="shared" si="30"/>
        <v>84480</v>
      </c>
    </row>
    <row r="1926" spans="1:10" x14ac:dyDescent="0.25">
      <c r="A1926" s="6">
        <v>1937</v>
      </c>
      <c r="B1926" t="s">
        <v>2736</v>
      </c>
      <c r="C1926" t="s">
        <v>1488</v>
      </c>
      <c r="D1926" t="s">
        <v>9</v>
      </c>
      <c r="E1926" t="str">
        <f>VLOOKUP(D1926,'Tên SP'!B$2:C$1070,2,0)</f>
        <v>NƯỚC GIẶT LIX ĐẬM ĐẶC 3,5KG/T04 TÚI</v>
      </c>
      <c r="F1926" s="4">
        <v>88000</v>
      </c>
      <c r="G1926">
        <v>1</v>
      </c>
      <c r="H1926" s="4">
        <v>88000</v>
      </c>
      <c r="I1926" s="4">
        <v>0</v>
      </c>
      <c r="J1926" s="5">
        <f t="shared" si="30"/>
        <v>88000</v>
      </c>
    </row>
    <row r="1927" spans="1:10" x14ac:dyDescent="0.25">
      <c r="A1927" s="6">
        <v>1938</v>
      </c>
      <c r="B1927" t="s">
        <v>2737</v>
      </c>
      <c r="C1927" t="s">
        <v>1489</v>
      </c>
      <c r="D1927" t="s">
        <v>102</v>
      </c>
      <c r="E1927" t="str">
        <f>VLOOKUP(D1927,'Tên SP'!B$2:C$1070,2,0)</f>
        <v>NƯỚC GIẶT LIX HƯƠNG NƯỚC HOA 3,5KG/T04 TÚI</v>
      </c>
      <c r="F1927" s="4">
        <v>105000</v>
      </c>
      <c r="G1927">
        <v>1</v>
      </c>
      <c r="H1927" s="4">
        <v>105000</v>
      </c>
      <c r="I1927" s="4">
        <v>-15000</v>
      </c>
      <c r="J1927" s="5">
        <f t="shared" si="30"/>
        <v>90000</v>
      </c>
    </row>
    <row r="1928" spans="1:10" x14ac:dyDescent="0.25">
      <c r="A1928" s="6">
        <v>1939</v>
      </c>
      <c r="B1928" t="s">
        <v>2738</v>
      </c>
      <c r="C1928" t="s">
        <v>1490</v>
      </c>
      <c r="D1928" t="s">
        <v>42</v>
      </c>
      <c r="E1928" t="str">
        <f>VLOOKUP(D1928,'Tên SP'!B$2:C$1070,2,0)</f>
        <v>BỘT GIẶT LIXE HƯƠNG NƯỚC HOA 2,4KG/05</v>
      </c>
      <c r="F1928" s="4">
        <v>68000</v>
      </c>
      <c r="G1928">
        <v>1</v>
      </c>
      <c r="H1928" s="4">
        <v>68000</v>
      </c>
      <c r="I1928" s="4">
        <v>0</v>
      </c>
      <c r="J1928" s="5">
        <f t="shared" si="30"/>
        <v>68000</v>
      </c>
    </row>
    <row r="1929" spans="1:10" x14ac:dyDescent="0.25">
      <c r="A1929" s="6">
        <v>1940</v>
      </c>
      <c r="B1929" t="s">
        <v>2739</v>
      </c>
      <c r="C1929" t="s">
        <v>1491</v>
      </c>
      <c r="D1929" t="s">
        <v>9</v>
      </c>
      <c r="E1929" t="str">
        <f>VLOOKUP(D1929,'Tên SP'!B$2:C$1070,2,0)</f>
        <v>NƯỚC GIẶT LIX ĐẬM ĐẶC 3,5KG/T04 TÚI</v>
      </c>
      <c r="F1929" s="4">
        <v>88000</v>
      </c>
      <c r="G1929">
        <v>1</v>
      </c>
      <c r="H1929" s="4">
        <v>88000</v>
      </c>
      <c r="I1929" s="4">
        <v>-13200</v>
      </c>
      <c r="J1929" s="5">
        <f t="shared" si="30"/>
        <v>74800</v>
      </c>
    </row>
    <row r="1930" spans="1:10" x14ac:dyDescent="0.25">
      <c r="A1930" s="6">
        <v>1941</v>
      </c>
      <c r="B1930" t="s">
        <v>2740</v>
      </c>
      <c r="C1930" t="s">
        <v>1492</v>
      </c>
      <c r="D1930" t="s">
        <v>9</v>
      </c>
      <c r="E1930" t="str">
        <f>VLOOKUP(D1930,'Tên SP'!B$2:C$1070,2,0)</f>
        <v>NƯỚC GIẶT LIX ĐẬM ĐẶC 3,5KG/T04 TÚI</v>
      </c>
      <c r="F1930" s="4">
        <v>88000</v>
      </c>
      <c r="G1930">
        <v>1</v>
      </c>
      <c r="H1930" s="4">
        <v>88000</v>
      </c>
      <c r="I1930" s="4">
        <v>-3000</v>
      </c>
      <c r="J1930" s="5">
        <f t="shared" si="30"/>
        <v>85000</v>
      </c>
    </row>
    <row r="1931" spans="1:10" x14ac:dyDescent="0.25">
      <c r="A1931" s="6">
        <v>1942</v>
      </c>
      <c r="B1931" t="s">
        <v>2740</v>
      </c>
      <c r="C1931" t="s">
        <v>1492</v>
      </c>
      <c r="D1931" t="s">
        <v>9</v>
      </c>
      <c r="E1931" t="str">
        <f>VLOOKUP(D1931,'Tên SP'!B$2:C$1070,2,0)</f>
        <v>NƯỚC GIẶT LIX ĐẬM ĐẶC 3,5KG/T04 TÚI</v>
      </c>
      <c r="F1931" s="4">
        <v>88000</v>
      </c>
      <c r="G1931">
        <v>1</v>
      </c>
      <c r="H1931" s="4">
        <v>88000</v>
      </c>
      <c r="I1931" s="4">
        <v>-3000</v>
      </c>
      <c r="J1931" s="5">
        <f t="shared" si="30"/>
        <v>85000</v>
      </c>
    </row>
    <row r="1932" spans="1:10" x14ac:dyDescent="0.25">
      <c r="A1932" s="6">
        <v>1943</v>
      </c>
      <c r="B1932" t="s">
        <v>2740</v>
      </c>
      <c r="C1932" t="s">
        <v>1492</v>
      </c>
      <c r="D1932" t="s">
        <v>9</v>
      </c>
      <c r="E1932" t="str">
        <f>VLOOKUP(D1932,'Tên SP'!B$2:C$1070,2,0)</f>
        <v>NƯỚC GIẶT LIX ĐẬM ĐẶC 3,5KG/T04 TÚI</v>
      </c>
      <c r="F1932" s="4">
        <v>88000</v>
      </c>
      <c r="G1932">
        <v>1</v>
      </c>
      <c r="H1932" s="4">
        <v>88000</v>
      </c>
      <c r="I1932" s="4">
        <v>-3000</v>
      </c>
      <c r="J1932" s="5">
        <f t="shared" si="30"/>
        <v>85000</v>
      </c>
    </row>
    <row r="1933" spans="1:10" x14ac:dyDescent="0.25">
      <c r="A1933" s="6">
        <v>1944</v>
      </c>
      <c r="B1933" t="s">
        <v>2740</v>
      </c>
      <c r="C1933" t="s">
        <v>1492</v>
      </c>
      <c r="D1933" t="s">
        <v>9</v>
      </c>
      <c r="E1933" t="str">
        <f>VLOOKUP(D1933,'Tên SP'!B$2:C$1070,2,0)</f>
        <v>NƯỚC GIẶT LIX ĐẬM ĐẶC 3,5KG/T04 TÚI</v>
      </c>
      <c r="F1933" s="4">
        <v>88000</v>
      </c>
      <c r="G1933">
        <v>1</v>
      </c>
      <c r="H1933" s="4">
        <v>88000</v>
      </c>
      <c r="I1933" s="4">
        <v>-3000</v>
      </c>
      <c r="J1933" s="5">
        <f t="shared" si="30"/>
        <v>85000</v>
      </c>
    </row>
    <row r="1934" spans="1:10" x14ac:dyDescent="0.25">
      <c r="A1934" s="6">
        <v>1945</v>
      </c>
      <c r="B1934" t="s">
        <v>2740</v>
      </c>
      <c r="C1934" t="s">
        <v>1492</v>
      </c>
      <c r="D1934" t="s">
        <v>9</v>
      </c>
      <c r="E1934" t="str">
        <f>VLOOKUP(D1934,'Tên SP'!B$2:C$1070,2,0)</f>
        <v>NƯỚC GIẶT LIX ĐẬM ĐẶC 3,5KG/T04 TÚI</v>
      </c>
      <c r="F1934" s="4">
        <v>88000</v>
      </c>
      <c r="G1934">
        <v>1</v>
      </c>
      <c r="H1934" s="4">
        <v>88000</v>
      </c>
      <c r="I1934" s="4">
        <v>-3000</v>
      </c>
      <c r="J1934" s="5">
        <f t="shared" si="30"/>
        <v>85000</v>
      </c>
    </row>
    <row r="1935" spans="1:10" x14ac:dyDescent="0.25">
      <c r="A1935" s="6">
        <v>1946</v>
      </c>
      <c r="B1935" t="s">
        <v>2740</v>
      </c>
      <c r="C1935" t="s">
        <v>1492</v>
      </c>
      <c r="D1935" t="s">
        <v>184</v>
      </c>
      <c r="E1935" t="str">
        <f>VLOOKUP(D1935,'Tên SP'!B$2:C$1070,2,0)</f>
        <v>GEL DIỆT KHUẨN TAY ON1 60ML/CH80</v>
      </c>
      <c r="F1935" s="4">
        <v>25000</v>
      </c>
      <c r="G1935">
        <v>1</v>
      </c>
      <c r="H1935" s="4">
        <v>25000</v>
      </c>
      <c r="I1935" s="4">
        <v>-25000</v>
      </c>
      <c r="J1935" s="5">
        <f t="shared" si="30"/>
        <v>0</v>
      </c>
    </row>
    <row r="1936" spans="1:10" x14ac:dyDescent="0.25">
      <c r="A1936" s="6">
        <v>1947</v>
      </c>
      <c r="B1936" t="s">
        <v>2741</v>
      </c>
      <c r="C1936" t="s">
        <v>1493</v>
      </c>
      <c r="D1936" t="s">
        <v>9</v>
      </c>
      <c r="E1936" t="str">
        <f>VLOOKUP(D1936,'Tên SP'!B$2:C$1070,2,0)</f>
        <v>NƯỚC GIẶT LIX ĐẬM ĐẶC 3,5KG/T04 TÚI</v>
      </c>
      <c r="F1936" s="4">
        <v>88000</v>
      </c>
      <c r="G1936">
        <v>1</v>
      </c>
      <c r="H1936" s="4">
        <v>88000</v>
      </c>
      <c r="I1936" s="4">
        <v>-13200</v>
      </c>
      <c r="J1936" s="5">
        <f t="shared" si="30"/>
        <v>74800</v>
      </c>
    </row>
    <row r="1937" spans="1:10" x14ac:dyDescent="0.25">
      <c r="A1937" s="6">
        <v>1948</v>
      </c>
      <c r="B1937" t="s">
        <v>2742</v>
      </c>
      <c r="C1937" t="s">
        <v>1494</v>
      </c>
      <c r="D1937" t="s">
        <v>9</v>
      </c>
      <c r="E1937" t="str">
        <f>VLOOKUP(D1937,'Tên SP'!B$2:C$1070,2,0)</f>
        <v>NƯỚC GIẶT LIX ĐẬM ĐẶC 3,5KG/T04 TÚI</v>
      </c>
      <c r="F1937" s="4">
        <v>88000</v>
      </c>
      <c r="G1937">
        <v>1</v>
      </c>
      <c r="H1937" s="4">
        <v>88000</v>
      </c>
      <c r="I1937" s="4">
        <v>0</v>
      </c>
      <c r="J1937" s="5">
        <f t="shared" si="30"/>
        <v>88000</v>
      </c>
    </row>
  </sheetData>
  <autoFilter ref="A1:J19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topLeftCell="A94" workbookViewId="0">
      <selection activeCell="C112" sqref="C112"/>
    </sheetView>
  </sheetViews>
  <sheetFormatPr defaultRowHeight="15" x14ac:dyDescent="0.25"/>
  <cols>
    <col min="1" max="1" width="8.85546875" style="3"/>
    <col min="2" max="2" width="11.85546875" customWidth="1"/>
    <col min="3" max="3" width="53.85546875" customWidth="1"/>
  </cols>
  <sheetData>
    <row r="1" spans="1:3" x14ac:dyDescent="0.25">
      <c r="A1" s="2" t="s">
        <v>210</v>
      </c>
      <c r="B1" s="1" t="s">
        <v>211</v>
      </c>
      <c r="C1" s="1" t="s">
        <v>212</v>
      </c>
    </row>
    <row r="2" spans="1:3" x14ac:dyDescent="0.25">
      <c r="A2" s="3">
        <v>1</v>
      </c>
      <c r="B2" t="s">
        <v>29</v>
      </c>
      <c r="C2" t="s">
        <v>30</v>
      </c>
    </row>
    <row r="3" spans="1:3" x14ac:dyDescent="0.25">
      <c r="A3" s="3">
        <v>2</v>
      </c>
      <c r="B3" t="s">
        <v>31</v>
      </c>
      <c r="C3" t="s">
        <v>33</v>
      </c>
    </row>
    <row r="4" spans="1:3" x14ac:dyDescent="0.25">
      <c r="A4" s="3">
        <v>3</v>
      </c>
      <c r="B4" t="s">
        <v>34</v>
      </c>
      <c r="C4" t="s">
        <v>35</v>
      </c>
    </row>
    <row r="5" spans="1:3" x14ac:dyDescent="0.25">
      <c r="A5" s="3">
        <v>4</v>
      </c>
      <c r="B5" t="s">
        <v>2743</v>
      </c>
      <c r="C5" t="s">
        <v>2749</v>
      </c>
    </row>
    <row r="6" spans="1:3" x14ac:dyDescent="0.25">
      <c r="A6" s="3">
        <v>5</v>
      </c>
      <c r="B6" t="s">
        <v>32</v>
      </c>
      <c r="C6" t="s">
        <v>33</v>
      </c>
    </row>
    <row r="7" spans="1:3" x14ac:dyDescent="0.25">
      <c r="A7" s="3">
        <v>6</v>
      </c>
      <c r="B7" t="s">
        <v>34</v>
      </c>
      <c r="C7" t="s">
        <v>35</v>
      </c>
    </row>
    <row r="8" spans="1:3" x14ac:dyDescent="0.25">
      <c r="A8" s="3">
        <v>7</v>
      </c>
      <c r="B8" t="s">
        <v>36</v>
      </c>
      <c r="C8" t="s">
        <v>37</v>
      </c>
    </row>
    <row r="9" spans="1:3" x14ac:dyDescent="0.25">
      <c r="A9" s="3">
        <v>8</v>
      </c>
      <c r="B9" t="s">
        <v>38</v>
      </c>
      <c r="C9" t="s">
        <v>40</v>
      </c>
    </row>
    <row r="10" spans="1:3" x14ac:dyDescent="0.25">
      <c r="A10" s="3">
        <v>9</v>
      </c>
      <c r="B10" t="s">
        <v>41</v>
      </c>
      <c r="C10" t="s">
        <v>43</v>
      </c>
    </row>
    <row r="11" spans="1:3" x14ac:dyDescent="0.25">
      <c r="A11" s="3">
        <v>10</v>
      </c>
      <c r="B11" t="s">
        <v>44</v>
      </c>
      <c r="C11" t="s">
        <v>46</v>
      </c>
    </row>
    <row r="12" spans="1:3" x14ac:dyDescent="0.25">
      <c r="A12" s="3">
        <v>11</v>
      </c>
      <c r="B12" t="s">
        <v>47</v>
      </c>
      <c r="C12" t="s">
        <v>48</v>
      </c>
    </row>
    <row r="13" spans="1:3" x14ac:dyDescent="0.25">
      <c r="A13" s="3">
        <v>12</v>
      </c>
      <c r="B13" t="s">
        <v>39</v>
      </c>
      <c r="C13" t="s">
        <v>40</v>
      </c>
    </row>
    <row r="14" spans="1:3" x14ac:dyDescent="0.25">
      <c r="A14" s="3">
        <v>13</v>
      </c>
      <c r="B14" t="s">
        <v>42</v>
      </c>
      <c r="C14" t="s">
        <v>43</v>
      </c>
    </row>
    <row r="15" spans="1:3" x14ac:dyDescent="0.25">
      <c r="A15" s="3">
        <v>14</v>
      </c>
      <c r="B15" t="s">
        <v>45</v>
      </c>
      <c r="C15" t="s">
        <v>46</v>
      </c>
    </row>
    <row r="16" spans="1:3" x14ac:dyDescent="0.25">
      <c r="A16" s="3">
        <v>15</v>
      </c>
      <c r="B16" t="s">
        <v>47</v>
      </c>
      <c r="C16" t="s">
        <v>48</v>
      </c>
    </row>
    <row r="17" spans="1:3" x14ac:dyDescent="0.25">
      <c r="A17" s="3">
        <v>16</v>
      </c>
      <c r="B17" t="s">
        <v>49</v>
      </c>
      <c r="C17" t="s">
        <v>50</v>
      </c>
    </row>
    <row r="18" spans="1:3" x14ac:dyDescent="0.25">
      <c r="A18" s="3">
        <v>17</v>
      </c>
      <c r="B18" t="s">
        <v>51</v>
      </c>
      <c r="C18" t="s">
        <v>53</v>
      </c>
    </row>
    <row r="19" spans="1:3" x14ac:dyDescent="0.25">
      <c r="A19" s="3">
        <v>18</v>
      </c>
      <c r="B19" t="s">
        <v>52</v>
      </c>
      <c r="C19" t="s">
        <v>53</v>
      </c>
    </row>
    <row r="20" spans="1:3" x14ac:dyDescent="0.25">
      <c r="A20" s="3">
        <v>19</v>
      </c>
      <c r="B20" t="s">
        <v>54</v>
      </c>
      <c r="C20" t="s">
        <v>55</v>
      </c>
    </row>
    <row r="21" spans="1:3" x14ac:dyDescent="0.25">
      <c r="A21" s="3">
        <v>20</v>
      </c>
      <c r="B21" t="s">
        <v>56</v>
      </c>
      <c r="C21" t="s">
        <v>57</v>
      </c>
    </row>
    <row r="22" spans="1:3" x14ac:dyDescent="0.25">
      <c r="A22" s="3">
        <v>21</v>
      </c>
      <c r="B22" t="s">
        <v>58</v>
      </c>
      <c r="C22" t="s">
        <v>59</v>
      </c>
    </row>
    <row r="23" spans="1:3" x14ac:dyDescent="0.25">
      <c r="A23" s="3">
        <v>22</v>
      </c>
      <c r="B23" t="s">
        <v>58</v>
      </c>
      <c r="C23" t="s">
        <v>59</v>
      </c>
    </row>
    <row r="24" spans="1:3" x14ac:dyDescent="0.25">
      <c r="A24" s="3">
        <v>23</v>
      </c>
      <c r="B24" t="s">
        <v>60</v>
      </c>
      <c r="C24" t="s">
        <v>61</v>
      </c>
    </row>
    <row r="25" spans="1:3" x14ac:dyDescent="0.25">
      <c r="A25" s="3">
        <v>24</v>
      </c>
      <c r="B25" t="s">
        <v>62</v>
      </c>
      <c r="C25" t="s">
        <v>63</v>
      </c>
    </row>
    <row r="26" spans="1:3" x14ac:dyDescent="0.25">
      <c r="A26" s="3">
        <v>25</v>
      </c>
      <c r="B26" t="s">
        <v>64</v>
      </c>
      <c r="C26" t="s">
        <v>66</v>
      </c>
    </row>
    <row r="27" spans="1:3" x14ac:dyDescent="0.25">
      <c r="A27" s="3">
        <v>26</v>
      </c>
      <c r="B27" t="s">
        <v>65</v>
      </c>
      <c r="C27" t="s">
        <v>66</v>
      </c>
    </row>
    <row r="28" spans="1:3" x14ac:dyDescent="0.25">
      <c r="A28" s="3">
        <v>27</v>
      </c>
      <c r="B28" t="s">
        <v>67</v>
      </c>
      <c r="C28" t="s">
        <v>68</v>
      </c>
    </row>
    <row r="29" spans="1:3" x14ac:dyDescent="0.25">
      <c r="A29" s="3">
        <v>28</v>
      </c>
      <c r="B29" t="s">
        <v>69</v>
      </c>
      <c r="C29" t="s">
        <v>70</v>
      </c>
    </row>
    <row r="30" spans="1:3" x14ac:dyDescent="0.25">
      <c r="A30" s="3">
        <v>29</v>
      </c>
      <c r="B30" t="s">
        <v>71</v>
      </c>
      <c r="C30" t="s">
        <v>72</v>
      </c>
    </row>
    <row r="31" spans="1:3" x14ac:dyDescent="0.25">
      <c r="A31" s="3">
        <v>30</v>
      </c>
      <c r="B31" t="s">
        <v>73</v>
      </c>
      <c r="C31" t="s">
        <v>74</v>
      </c>
    </row>
    <row r="32" spans="1:3" x14ac:dyDescent="0.25">
      <c r="A32" s="3">
        <v>31</v>
      </c>
      <c r="B32" t="s">
        <v>75</v>
      </c>
      <c r="C32" t="s">
        <v>76</v>
      </c>
    </row>
    <row r="33" spans="1:3" x14ac:dyDescent="0.25">
      <c r="A33" s="3">
        <v>32</v>
      </c>
      <c r="B33" t="s">
        <v>77</v>
      </c>
      <c r="C33" t="s">
        <v>78</v>
      </c>
    </row>
    <row r="34" spans="1:3" x14ac:dyDescent="0.25">
      <c r="A34" s="3">
        <v>33</v>
      </c>
      <c r="B34" t="s">
        <v>79</v>
      </c>
      <c r="C34" t="s">
        <v>80</v>
      </c>
    </row>
    <row r="35" spans="1:3" x14ac:dyDescent="0.25">
      <c r="A35" s="3">
        <v>34</v>
      </c>
      <c r="B35" t="s">
        <v>81</v>
      </c>
      <c r="C35" t="s">
        <v>82</v>
      </c>
    </row>
    <row r="36" spans="1:3" x14ac:dyDescent="0.25">
      <c r="A36" s="3">
        <v>35</v>
      </c>
      <c r="B36" t="s">
        <v>83</v>
      </c>
      <c r="C36" t="s">
        <v>84</v>
      </c>
    </row>
    <row r="37" spans="1:3" x14ac:dyDescent="0.25">
      <c r="A37" s="3">
        <v>36</v>
      </c>
      <c r="B37" t="s">
        <v>85</v>
      </c>
      <c r="C37" t="s">
        <v>86</v>
      </c>
    </row>
    <row r="38" spans="1:3" x14ac:dyDescent="0.25">
      <c r="A38" s="3">
        <v>37</v>
      </c>
      <c r="B38" t="s">
        <v>87</v>
      </c>
      <c r="C38" t="s">
        <v>88</v>
      </c>
    </row>
    <row r="39" spans="1:3" x14ac:dyDescent="0.25">
      <c r="A39" s="3">
        <v>38</v>
      </c>
      <c r="B39" t="s">
        <v>89</v>
      </c>
      <c r="C39" t="s">
        <v>90</v>
      </c>
    </row>
    <row r="40" spans="1:3" x14ac:dyDescent="0.25">
      <c r="A40" s="3">
        <v>39</v>
      </c>
      <c r="B40" t="s">
        <v>91</v>
      </c>
      <c r="C40" t="s">
        <v>2745</v>
      </c>
    </row>
    <row r="41" spans="1:3" x14ac:dyDescent="0.25">
      <c r="A41" s="3">
        <v>40</v>
      </c>
      <c r="B41" t="s">
        <v>92</v>
      </c>
      <c r="C41" t="s">
        <v>2746</v>
      </c>
    </row>
    <row r="42" spans="1:3" x14ac:dyDescent="0.25">
      <c r="A42" s="3">
        <v>41</v>
      </c>
      <c r="B42" t="s">
        <v>93</v>
      </c>
      <c r="C42" t="s">
        <v>2747</v>
      </c>
    </row>
    <row r="43" spans="1:3" x14ac:dyDescent="0.25">
      <c r="A43" s="3">
        <v>42</v>
      </c>
      <c r="B43" t="s">
        <v>94</v>
      </c>
      <c r="C43" t="s">
        <v>2748</v>
      </c>
    </row>
    <row r="44" spans="1:3" x14ac:dyDescent="0.25">
      <c r="A44" s="3">
        <v>43</v>
      </c>
      <c r="B44" t="s">
        <v>95</v>
      </c>
      <c r="C44" t="s">
        <v>96</v>
      </c>
    </row>
    <row r="45" spans="1:3" x14ac:dyDescent="0.25">
      <c r="A45" s="3">
        <v>44</v>
      </c>
      <c r="B45" t="s">
        <v>97</v>
      </c>
      <c r="C45" t="s">
        <v>98</v>
      </c>
    </row>
    <row r="46" spans="1:3" x14ac:dyDescent="0.25">
      <c r="A46" s="3">
        <v>45</v>
      </c>
      <c r="B46" t="s">
        <v>9</v>
      </c>
      <c r="C46" t="s">
        <v>99</v>
      </c>
    </row>
    <row r="47" spans="1:3" x14ac:dyDescent="0.25">
      <c r="A47" s="3">
        <v>46</v>
      </c>
      <c r="B47" t="s">
        <v>100</v>
      </c>
      <c r="C47" t="s">
        <v>101</v>
      </c>
    </row>
    <row r="48" spans="1:3" x14ac:dyDescent="0.25">
      <c r="A48" s="3">
        <v>47</v>
      </c>
      <c r="B48" t="s">
        <v>102</v>
      </c>
      <c r="C48" t="s">
        <v>103</v>
      </c>
    </row>
    <row r="49" spans="1:3" x14ac:dyDescent="0.25">
      <c r="A49" s="3">
        <v>48</v>
      </c>
      <c r="B49" t="s">
        <v>104</v>
      </c>
      <c r="C49" t="s">
        <v>105</v>
      </c>
    </row>
    <row r="50" spans="1:3" x14ac:dyDescent="0.25">
      <c r="A50" s="3">
        <v>49</v>
      </c>
      <c r="B50" t="s">
        <v>106</v>
      </c>
      <c r="C50" t="s">
        <v>107</v>
      </c>
    </row>
    <row r="51" spans="1:3" x14ac:dyDescent="0.25">
      <c r="A51" s="3">
        <v>50</v>
      </c>
      <c r="B51" t="s">
        <v>108</v>
      </c>
      <c r="C51" t="s">
        <v>109</v>
      </c>
    </row>
    <row r="52" spans="1:3" x14ac:dyDescent="0.25">
      <c r="A52" s="3">
        <v>51</v>
      </c>
      <c r="B52" t="s">
        <v>23</v>
      </c>
      <c r="C52" t="s">
        <v>110</v>
      </c>
    </row>
    <row r="53" spans="1:3" x14ac:dyDescent="0.25">
      <c r="A53" s="3">
        <v>52</v>
      </c>
      <c r="B53" t="s">
        <v>28</v>
      </c>
      <c r="C53" t="s">
        <v>111</v>
      </c>
    </row>
    <row r="54" spans="1:3" x14ac:dyDescent="0.25">
      <c r="A54" s="3">
        <v>53</v>
      </c>
      <c r="B54" t="s">
        <v>22</v>
      </c>
      <c r="C54" t="s">
        <v>112</v>
      </c>
    </row>
    <row r="55" spans="1:3" x14ac:dyDescent="0.25">
      <c r="A55" s="3">
        <v>54</v>
      </c>
      <c r="B55" t="s">
        <v>113</v>
      </c>
      <c r="C55" t="s">
        <v>115</v>
      </c>
    </row>
    <row r="56" spans="1:3" x14ac:dyDescent="0.25">
      <c r="A56" s="3">
        <v>55</v>
      </c>
      <c r="B56" t="s">
        <v>116</v>
      </c>
      <c r="C56" t="s">
        <v>118</v>
      </c>
    </row>
    <row r="57" spans="1:3" x14ac:dyDescent="0.25">
      <c r="A57" s="3">
        <v>56</v>
      </c>
      <c r="B57" t="s">
        <v>119</v>
      </c>
      <c r="C57" t="s">
        <v>121</v>
      </c>
    </row>
    <row r="58" spans="1:3" x14ac:dyDescent="0.25">
      <c r="A58" s="3">
        <v>57</v>
      </c>
      <c r="B58" t="s">
        <v>122</v>
      </c>
      <c r="C58" t="s">
        <v>124</v>
      </c>
    </row>
    <row r="59" spans="1:3" x14ac:dyDescent="0.25">
      <c r="A59" s="3">
        <v>58</v>
      </c>
      <c r="B59" t="s">
        <v>125</v>
      </c>
      <c r="C59" t="s">
        <v>127</v>
      </c>
    </row>
    <row r="60" spans="1:3" x14ac:dyDescent="0.25">
      <c r="A60" s="3">
        <v>59</v>
      </c>
      <c r="B60" t="s">
        <v>128</v>
      </c>
      <c r="C60" t="s">
        <v>130</v>
      </c>
    </row>
    <row r="61" spans="1:3" x14ac:dyDescent="0.25">
      <c r="A61" s="3">
        <v>60</v>
      </c>
      <c r="B61" t="s">
        <v>131</v>
      </c>
      <c r="C61" t="s">
        <v>133</v>
      </c>
    </row>
    <row r="62" spans="1:3" x14ac:dyDescent="0.25">
      <c r="A62" s="3">
        <v>61</v>
      </c>
      <c r="B62" t="s">
        <v>134</v>
      </c>
      <c r="C62" t="s">
        <v>136</v>
      </c>
    </row>
    <row r="63" spans="1:3" x14ac:dyDescent="0.25">
      <c r="A63" s="3">
        <v>62</v>
      </c>
      <c r="B63" t="s">
        <v>137</v>
      </c>
      <c r="C63" t="s">
        <v>139</v>
      </c>
    </row>
    <row r="64" spans="1:3" x14ac:dyDescent="0.25">
      <c r="A64" s="3">
        <v>63</v>
      </c>
      <c r="B64" t="s">
        <v>114</v>
      </c>
      <c r="C64" t="s">
        <v>115</v>
      </c>
    </row>
    <row r="65" spans="1:3" x14ac:dyDescent="0.25">
      <c r="A65" s="3">
        <v>64</v>
      </c>
      <c r="B65" t="s">
        <v>117</v>
      </c>
      <c r="C65" t="s">
        <v>118</v>
      </c>
    </row>
    <row r="66" spans="1:3" x14ac:dyDescent="0.25">
      <c r="A66" s="3">
        <v>65</v>
      </c>
      <c r="B66" t="s">
        <v>120</v>
      </c>
      <c r="C66" t="s">
        <v>121</v>
      </c>
    </row>
    <row r="67" spans="1:3" x14ac:dyDescent="0.25">
      <c r="A67" s="3">
        <v>66</v>
      </c>
      <c r="B67" t="s">
        <v>123</v>
      </c>
      <c r="C67" t="s">
        <v>124</v>
      </c>
    </row>
    <row r="68" spans="1:3" x14ac:dyDescent="0.25">
      <c r="A68" s="3">
        <v>67</v>
      </c>
      <c r="B68" t="s">
        <v>126</v>
      </c>
      <c r="C68" t="s">
        <v>127</v>
      </c>
    </row>
    <row r="69" spans="1:3" x14ac:dyDescent="0.25">
      <c r="A69" s="3">
        <v>68</v>
      </c>
      <c r="B69" t="s">
        <v>129</v>
      </c>
      <c r="C69" t="s">
        <v>130</v>
      </c>
    </row>
    <row r="70" spans="1:3" x14ac:dyDescent="0.25">
      <c r="A70" s="3">
        <v>69</v>
      </c>
      <c r="B70" t="s">
        <v>132</v>
      </c>
      <c r="C70" t="s">
        <v>133</v>
      </c>
    </row>
    <row r="71" spans="1:3" x14ac:dyDescent="0.25">
      <c r="A71" s="3">
        <v>70</v>
      </c>
      <c r="B71" t="s">
        <v>135</v>
      </c>
      <c r="C71" t="s">
        <v>136</v>
      </c>
    </row>
    <row r="72" spans="1:3" x14ac:dyDescent="0.25">
      <c r="A72" s="3">
        <v>71</v>
      </c>
      <c r="B72" t="s">
        <v>138</v>
      </c>
      <c r="C72" t="s">
        <v>139</v>
      </c>
    </row>
    <row r="73" spans="1:3" x14ac:dyDescent="0.25">
      <c r="A73" s="3">
        <v>72</v>
      </c>
      <c r="B73" t="s">
        <v>140</v>
      </c>
      <c r="C73" t="s">
        <v>141</v>
      </c>
    </row>
    <row r="74" spans="1:3" x14ac:dyDescent="0.25">
      <c r="A74" s="3">
        <v>73</v>
      </c>
      <c r="B74" t="s">
        <v>142</v>
      </c>
      <c r="C74" t="s">
        <v>143</v>
      </c>
    </row>
    <row r="75" spans="1:3" x14ac:dyDescent="0.25">
      <c r="A75" s="3">
        <v>74</v>
      </c>
      <c r="B75" t="s">
        <v>144</v>
      </c>
      <c r="C75" t="s">
        <v>145</v>
      </c>
    </row>
    <row r="76" spans="1:3" x14ac:dyDescent="0.25">
      <c r="A76" s="3">
        <v>75</v>
      </c>
      <c r="B76" t="s">
        <v>146</v>
      </c>
      <c r="C76" t="s">
        <v>147</v>
      </c>
    </row>
    <row r="77" spans="1:3" x14ac:dyDescent="0.25">
      <c r="A77" s="3">
        <v>76</v>
      </c>
      <c r="B77" t="s">
        <v>148</v>
      </c>
      <c r="C77" t="s">
        <v>149</v>
      </c>
    </row>
    <row r="78" spans="1:3" x14ac:dyDescent="0.25">
      <c r="A78" s="3">
        <v>77</v>
      </c>
      <c r="B78" t="s">
        <v>150</v>
      </c>
      <c r="C78" t="s">
        <v>151</v>
      </c>
    </row>
    <row r="79" spans="1:3" x14ac:dyDescent="0.25">
      <c r="A79" s="3">
        <v>78</v>
      </c>
      <c r="B79" t="s">
        <v>152</v>
      </c>
      <c r="C79" t="s">
        <v>153</v>
      </c>
    </row>
    <row r="80" spans="1:3" x14ac:dyDescent="0.25">
      <c r="A80" s="3">
        <v>79</v>
      </c>
      <c r="B80" t="s">
        <v>154</v>
      </c>
      <c r="C80" t="s">
        <v>155</v>
      </c>
    </row>
    <row r="81" spans="1:3" x14ac:dyDescent="0.25">
      <c r="A81" s="3">
        <v>80</v>
      </c>
      <c r="B81" t="s">
        <v>156</v>
      </c>
      <c r="C81" t="s">
        <v>157</v>
      </c>
    </row>
    <row r="82" spans="1:3" x14ac:dyDescent="0.25">
      <c r="A82" s="3">
        <v>81</v>
      </c>
      <c r="B82" t="s">
        <v>158</v>
      </c>
      <c r="C82" t="s">
        <v>159</v>
      </c>
    </row>
    <row r="83" spans="1:3" x14ac:dyDescent="0.25">
      <c r="A83" s="3">
        <v>82</v>
      </c>
      <c r="B83" t="s">
        <v>160</v>
      </c>
      <c r="C83" t="s">
        <v>161</v>
      </c>
    </row>
    <row r="84" spans="1:3" x14ac:dyDescent="0.25">
      <c r="A84" s="3">
        <v>83</v>
      </c>
      <c r="B84" t="s">
        <v>162</v>
      </c>
      <c r="C84" t="s">
        <v>163</v>
      </c>
    </row>
    <row r="85" spans="1:3" x14ac:dyDescent="0.25">
      <c r="A85" s="3">
        <v>84</v>
      </c>
      <c r="B85" t="s">
        <v>164</v>
      </c>
      <c r="C85" t="s">
        <v>165</v>
      </c>
    </row>
    <row r="86" spans="1:3" x14ac:dyDescent="0.25">
      <c r="A86" s="3">
        <v>85</v>
      </c>
      <c r="B86" t="s">
        <v>166</v>
      </c>
      <c r="C86" t="s">
        <v>167</v>
      </c>
    </row>
    <row r="87" spans="1:3" x14ac:dyDescent="0.25">
      <c r="A87" s="3">
        <v>86</v>
      </c>
      <c r="B87" t="s">
        <v>168</v>
      </c>
      <c r="C87" t="s">
        <v>169</v>
      </c>
    </row>
    <row r="88" spans="1:3" x14ac:dyDescent="0.25">
      <c r="A88" s="3">
        <v>87</v>
      </c>
      <c r="B88" t="s">
        <v>170</v>
      </c>
      <c r="C88" t="s">
        <v>171</v>
      </c>
    </row>
    <row r="89" spans="1:3" x14ac:dyDescent="0.25">
      <c r="A89" s="3">
        <v>88</v>
      </c>
      <c r="B89" t="s">
        <v>172</v>
      </c>
      <c r="C89" t="s">
        <v>173</v>
      </c>
    </row>
    <row r="90" spans="1:3" x14ac:dyDescent="0.25">
      <c r="A90" s="3">
        <v>89</v>
      </c>
      <c r="B90" t="s">
        <v>174</v>
      </c>
      <c r="C90" t="s">
        <v>175</v>
      </c>
    </row>
    <row r="91" spans="1:3" x14ac:dyDescent="0.25">
      <c r="A91" s="3">
        <v>90</v>
      </c>
      <c r="B91" t="s">
        <v>176</v>
      </c>
      <c r="C91" t="s">
        <v>177</v>
      </c>
    </row>
    <row r="92" spans="1:3" x14ac:dyDescent="0.25">
      <c r="A92" s="3">
        <v>91</v>
      </c>
      <c r="B92" t="s">
        <v>178</v>
      </c>
      <c r="C92" t="s">
        <v>179</v>
      </c>
    </row>
    <row r="93" spans="1:3" x14ac:dyDescent="0.25">
      <c r="A93" s="3">
        <v>92</v>
      </c>
      <c r="B93" t="s">
        <v>180</v>
      </c>
      <c r="C93" t="s">
        <v>181</v>
      </c>
    </row>
    <row r="94" spans="1:3" x14ac:dyDescent="0.25">
      <c r="A94" s="3">
        <v>93</v>
      </c>
      <c r="B94" t="s">
        <v>182</v>
      </c>
      <c r="C94" t="s">
        <v>183</v>
      </c>
    </row>
    <row r="95" spans="1:3" x14ac:dyDescent="0.25">
      <c r="A95" s="3">
        <v>94</v>
      </c>
      <c r="B95" t="s">
        <v>184</v>
      </c>
      <c r="C95" t="s">
        <v>185</v>
      </c>
    </row>
    <row r="96" spans="1:3" x14ac:dyDescent="0.25">
      <c r="A96" s="3">
        <v>95</v>
      </c>
      <c r="B96" t="s">
        <v>186</v>
      </c>
      <c r="C96" t="s">
        <v>187</v>
      </c>
    </row>
    <row r="97" spans="1:3" x14ac:dyDescent="0.25">
      <c r="A97" s="3">
        <v>96</v>
      </c>
      <c r="B97" t="s">
        <v>188</v>
      </c>
      <c r="C97" t="s">
        <v>189</v>
      </c>
    </row>
    <row r="98" spans="1:3" x14ac:dyDescent="0.25">
      <c r="A98" s="3">
        <v>97</v>
      </c>
      <c r="B98" t="s">
        <v>190</v>
      </c>
      <c r="C98" t="s">
        <v>191</v>
      </c>
    </row>
    <row r="99" spans="1:3" x14ac:dyDescent="0.25">
      <c r="A99" s="3">
        <v>98</v>
      </c>
      <c r="B99" t="s">
        <v>192</v>
      </c>
      <c r="C99" t="s">
        <v>193</v>
      </c>
    </row>
    <row r="100" spans="1:3" x14ac:dyDescent="0.25">
      <c r="A100" s="3">
        <v>99</v>
      </c>
      <c r="B100" t="s">
        <v>194</v>
      </c>
      <c r="C100" t="s">
        <v>195</v>
      </c>
    </row>
    <row r="101" spans="1:3" x14ac:dyDescent="0.25">
      <c r="A101" s="3">
        <v>100</v>
      </c>
      <c r="B101" t="s">
        <v>196</v>
      </c>
      <c r="C101" t="s">
        <v>197</v>
      </c>
    </row>
    <row r="102" spans="1:3" x14ac:dyDescent="0.25">
      <c r="A102" s="3">
        <v>101</v>
      </c>
      <c r="B102" t="s">
        <v>198</v>
      </c>
      <c r="C102" t="s">
        <v>199</v>
      </c>
    </row>
    <row r="103" spans="1:3" x14ac:dyDescent="0.25">
      <c r="A103" s="3">
        <v>102</v>
      </c>
      <c r="B103" t="s">
        <v>200</v>
      </c>
      <c r="C103" t="s">
        <v>201</v>
      </c>
    </row>
    <row r="104" spans="1:3" x14ac:dyDescent="0.25">
      <c r="A104" s="3">
        <v>103</v>
      </c>
      <c r="B104" t="s">
        <v>202</v>
      </c>
      <c r="C104" t="s">
        <v>203</v>
      </c>
    </row>
    <row r="105" spans="1:3" x14ac:dyDescent="0.25">
      <c r="A105" s="3">
        <v>104</v>
      </c>
      <c r="B105" t="s">
        <v>204</v>
      </c>
      <c r="C105" t="s">
        <v>205</v>
      </c>
    </row>
    <row r="106" spans="1:3" x14ac:dyDescent="0.25">
      <c r="A106" s="3">
        <v>105</v>
      </c>
      <c r="B106" t="s">
        <v>206</v>
      </c>
      <c r="C106" t="s">
        <v>207</v>
      </c>
    </row>
    <row r="107" spans="1:3" x14ac:dyDescent="0.25">
      <c r="A107" s="3">
        <v>106</v>
      </c>
      <c r="B107" t="s">
        <v>208</v>
      </c>
      <c r="C107" t="s">
        <v>209</v>
      </c>
    </row>
    <row r="108" spans="1:3" x14ac:dyDescent="0.25">
      <c r="A108" s="3">
        <v>107</v>
      </c>
      <c r="B108" t="s">
        <v>2744</v>
      </c>
      <c r="C108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Tên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Hanh Dung</dc:creator>
  <cp:lastModifiedBy>trong</cp:lastModifiedBy>
  <dcterms:created xsi:type="dcterms:W3CDTF">2022-09-08T05:50:46Z</dcterms:created>
  <dcterms:modified xsi:type="dcterms:W3CDTF">2022-10-24T03:35:44Z</dcterms:modified>
</cp:coreProperties>
</file>